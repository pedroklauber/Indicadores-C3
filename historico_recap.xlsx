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526" documentId="8_{A2D22092-61F7-40F8-A3CB-EE4C820708D1}" xr6:coauthVersionLast="47" xr6:coauthVersionMax="47" xr10:uidLastSave="{F5C37C09-2B36-4A6C-8533-8F088BDBC75E}"/>
  <bookViews>
    <workbookView xWindow="-108" yWindow="-108" windowWidth="23256" windowHeight="12456" firstSheet="10" activeTab="10" xr2:uid="{764A3B1C-4385-41E0-85B9-B2E5043E601B}"/>
  </bookViews>
  <sheets>
    <sheet name="LISTA DE INDICADORES" sheetId="8" r:id="rId1"/>
    <sheet name="IARI" sheetId="1" r:id="rId2"/>
    <sheet name="IAZF" sheetId="2" r:id="rId3"/>
    <sheet name="PFCEO" sheetId="9" r:id="rId4"/>
    <sheet name="VAZAMENTOS GERAL" sheetId="3" r:id="rId5"/>
    <sheet name="VAZAMENTOS VC" sheetId="4" r:id="rId6"/>
    <sheet name="DISP.PURGADORES" sheetId="10" r:id="rId7"/>
    <sheet name="REALIZACAO SEMANAL" sheetId="6" r:id="rId8"/>
    <sheet name="TEMPO DE PLANEJAMENTO" sheetId="5" r:id="rId9"/>
    <sheet name="DISP.EQUIPAMENTOS" sheetId="11" r:id="rId10"/>
    <sheet name="CONTROLE DE ANDAIMES" sheetId="13" r:id="rId11"/>
    <sheet name="CONTROLE MANGUEIRAS" sheetId="12" r:id="rId12"/>
    <sheet name="CARTEIRA PLANEJAMENTO CAL COM" sheetId="14" r:id="rId13"/>
    <sheet name="Planilha7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6" l="1"/>
  <c r="B31" i="3"/>
  <c r="D62" i="6"/>
  <c r="B30" i="3"/>
  <c r="D61" i="6"/>
  <c r="B29" i="3"/>
  <c r="D60" i="6"/>
  <c r="B28" i="3"/>
  <c r="D59" i="6"/>
  <c r="B27" i="3"/>
  <c r="F9" i="2"/>
  <c r="L14" i="13"/>
  <c r="K14" i="13"/>
  <c r="D58" i="6" l="1"/>
  <c r="B26" i="3"/>
  <c r="G20" i="1"/>
  <c r="K13" i="13"/>
  <c r="L13" i="13"/>
  <c r="D57" i="6" l="1"/>
  <c r="G19" i="1"/>
  <c r="B25" i="3"/>
  <c r="D56" i="6"/>
  <c r="G18" i="1"/>
  <c r="L12" i="13"/>
  <c r="K12" i="13"/>
  <c r="D55" i="6" l="1"/>
  <c r="B24" i="4"/>
  <c r="B24" i="3"/>
  <c r="F8" i="2"/>
  <c r="D51" i="6"/>
  <c r="D54" i="6"/>
  <c r="D53" i="6"/>
  <c r="B23" i="4"/>
  <c r="B23" i="3"/>
  <c r="F7" i="2"/>
  <c r="L11" i="13"/>
  <c r="K11" i="13"/>
  <c r="L10" i="13"/>
  <c r="K10" i="13"/>
  <c r="B22" i="4" l="1"/>
  <c r="B22" i="3"/>
  <c r="F6" i="2"/>
  <c r="L9" i="13"/>
  <c r="K9" i="13"/>
  <c r="D52" i="6" l="1"/>
  <c r="B21" i="4"/>
  <c r="B21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0" i="4" l="1"/>
  <c r="B20" i="3"/>
  <c r="F4" i="2"/>
  <c r="G13" i="1"/>
  <c r="D49" i="6" l="1"/>
  <c r="B19" i="3"/>
  <c r="B19" i="4"/>
  <c r="F3" i="2"/>
  <c r="F2" i="2"/>
  <c r="B18" i="4"/>
  <c r="B17" i="4"/>
  <c r="B16" i="4"/>
  <c r="B15" i="4"/>
  <c r="B14" i="4"/>
  <c r="B13" i="4"/>
  <c r="B12" i="4"/>
  <c r="B11" i="4"/>
  <c r="B10" i="4"/>
  <c r="B10" i="3"/>
  <c r="B11" i="3"/>
  <c r="B12" i="3"/>
  <c r="B13" i="3"/>
  <c r="B14" i="3"/>
  <c r="B15" i="3"/>
  <c r="B16" i="3"/>
  <c r="B17" i="3"/>
  <c r="B18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3" i="9"/>
  <c r="B2" i="9"/>
  <c r="B3" i="2"/>
  <c r="B2" i="2"/>
  <c r="B12" i="1"/>
  <c r="B10" i="1"/>
  <c r="B11" i="1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</calcChain>
</file>

<file path=xl/sharedStrings.xml><?xml version="1.0" encoding="utf-8"?>
<sst xmlns="http://schemas.openxmlformats.org/spreadsheetml/2006/main" count="530" uniqueCount="141">
  <si>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</si>
  <si>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</si>
  <si>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</si>
  <si>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</si>
  <si>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</si>
  <si>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</si>
  <si>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</si>
  <si>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</si>
  <si>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</si>
  <si>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</si>
  <si>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</si>
  <si>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</si>
  <si>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</si>
  <si>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</si>
  <si>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</si>
  <si>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</si>
  <si>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</si>
  <si>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</si>
  <si>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</si>
  <si>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</si>
  <si>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</si>
  <si>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</si>
  <si>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</si>
  <si>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</si>
  <si>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</si>
  <si>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</si>
  <si>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</si>
  <si>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</si>
  <si>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</si>
  <si>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</si>
  <si>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</si>
  <si>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</si>
  <si>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</si>
  <si>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</si>
  <si>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</si>
  <si>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</si>
  <si>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</si>
  <si>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</si>
  <si>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</si>
  <si>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</si>
  <si>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</si>
  <si>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</si>
  <si>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</si>
  <si>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</si>
  <si>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</si>
  <si>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</si>
  <si>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</si>
  <si>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</si>
  <si>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</si>
  <si>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</si>
  <si>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</si>
  <si>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</si>
  <si>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</si>
  <si>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</si>
  <si>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</si>
  <si>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</si>
  <si>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</si>
  <si>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</si>
  <si>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</si>
  <si>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</si>
  <si>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</si>
  <si>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</si>
  <si>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</si>
  <si>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</si>
  <si>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</si>
  <si>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</si>
  <si>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</si>
  <si>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</si>
  <si>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</si>
  <si>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</si>
  <si>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</si>
  <si>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</si>
  <si>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</si>
  <si>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</si>
  <si>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</si>
  <si>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</si>
  <si>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</si>
  <si>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</si>
  <si>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</si>
  <si>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</si>
  <si>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</si>
  <si>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</si>
  <si>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</si>
  <si>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</si>
  <si>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</si>
  <si>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</si>
  <si>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</si>
  <si>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</si>
  <si>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</si>
  <si>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</si>
  <si>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</si>
  <si>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</si>
  <si>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</si>
  <si>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</si>
  <si>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</si>
  <si>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</si>
  <si>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</si>
  <si>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</si>
  <si>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</si>
  <si>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</si>
  <si>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</si>
  <si>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</si>
  <si>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</si>
  <si>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</si>
  <si>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</si>
  <si>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</si>
  <si>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</si>
  <si>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</si>
  <si>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</si>
  <si>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</si>
  <si>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</si>
  <si>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</si>
  <si>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</si>
  <si>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</si>
  <si>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</si>
  <si>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</si>
  <si>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</si>
  <si>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</si>
  <si>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</si>
  <si>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</si>
  <si>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</si>
  <si>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</si>
  <si>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</si>
  <si>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</si>
  <si>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</si>
  <si>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</si>
  <si>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</si>
  <si>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</si>
  <si>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</si>
  <si>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</si>
  <si>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</si>
  <si>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</si>
  <si>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</si>
  <si>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2025.39</t>
  </si>
  <si>
    <t>2026.25</t>
  </si>
  <si>
    <t>2025.30</t>
  </si>
  <si>
    <t>2025.40</t>
  </si>
  <si>
    <t>2025.31</t>
  </si>
  <si>
    <t>2025.41</t>
  </si>
  <si>
    <t>2025.32</t>
  </si>
  <si>
    <t>2025.42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</si>
</sst>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E26" sqref="E26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25"/>
  <sheetViews>
    <sheetView workbookViewId="0">
      <pane ySplit="1" topLeftCell="A11" activePane="bottomLeft" state="frozen"/>
      <selection pane="bottomLeft" activeCell="I25" sqref="I25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9"/>
      <c r="B2" s="10" t="s">
        <v>28</v>
      </c>
      <c r="C2" s="11"/>
      <c r="D2" s="11"/>
      <c r="E2" s="11"/>
      <c r="F2" s="42">
        <v>1</v>
      </c>
      <c r="G2" s="19">
        <v>1</v>
      </c>
      <c r="H2" s="40">
        <v>1</v>
      </c>
      <c r="I2" s="44" t="s">
        <v>107</v>
      </c>
    </row>
    <row r="3" spans="1:9" x14ac:dyDescent="0.3">
      <c r="A3" s="9"/>
      <c r="B3" s="10" t="s">
        <v>18</v>
      </c>
      <c r="C3" s="11"/>
      <c r="D3" s="11"/>
      <c r="E3" s="11"/>
      <c r="F3" s="42">
        <v>1</v>
      </c>
      <c r="G3" s="19">
        <v>0.97499999999999998</v>
      </c>
      <c r="H3" s="40">
        <v>1</v>
      </c>
      <c r="I3" s="44" t="s">
        <v>107</v>
      </c>
    </row>
    <row r="4" spans="1:9" x14ac:dyDescent="0.3">
      <c r="A4" s="9"/>
      <c r="B4" s="10" t="s">
        <v>19</v>
      </c>
      <c r="C4" s="11"/>
      <c r="D4" s="11"/>
      <c r="E4" s="11"/>
      <c r="F4" s="42">
        <v>1</v>
      </c>
      <c r="G4" s="19">
        <v>0.98499999999999999</v>
      </c>
      <c r="H4" s="40">
        <v>1</v>
      </c>
      <c r="I4" s="44" t="s">
        <v>107</v>
      </c>
    </row>
    <row r="5" spans="1:9" x14ac:dyDescent="0.3">
      <c r="A5" s="9"/>
      <c r="B5" s="10" t="s">
        <v>20</v>
      </c>
      <c r="C5" s="11"/>
      <c r="D5" s="11"/>
      <c r="E5" s="11"/>
      <c r="F5" s="42">
        <v>1</v>
      </c>
      <c r="G5" s="19">
        <v>1</v>
      </c>
      <c r="H5" s="40">
        <v>1</v>
      </c>
      <c r="I5" s="44" t="s">
        <v>107</v>
      </c>
    </row>
    <row r="6" spans="1:9" x14ac:dyDescent="0.3">
      <c r="A6" s="9"/>
      <c r="B6" s="10" t="s">
        <v>21</v>
      </c>
      <c r="C6" s="11"/>
      <c r="D6" s="11"/>
      <c r="E6" s="11"/>
      <c r="F6" s="42">
        <v>1</v>
      </c>
      <c r="G6" s="19">
        <v>1</v>
      </c>
      <c r="H6" s="40">
        <v>1</v>
      </c>
      <c r="I6" s="44" t="s">
        <v>107</v>
      </c>
    </row>
    <row r="7" spans="1:9" x14ac:dyDescent="0.3">
      <c r="A7" s="9"/>
      <c r="B7" s="10" t="s">
        <v>22</v>
      </c>
      <c r="C7" s="11"/>
      <c r="D7" s="11"/>
      <c r="E7" s="11"/>
      <c r="F7" s="42">
        <v>1</v>
      </c>
      <c r="G7" s="19">
        <v>0.97119999999999995</v>
      </c>
      <c r="H7" s="40">
        <v>1</v>
      </c>
      <c r="I7" s="44" t="s">
        <v>107</v>
      </c>
    </row>
    <row r="8" spans="1:9" x14ac:dyDescent="0.3">
      <c r="A8" s="9"/>
      <c r="B8" s="10" t="s">
        <v>23</v>
      </c>
      <c r="C8" s="11"/>
      <c r="D8" s="11"/>
      <c r="E8" s="11"/>
      <c r="F8" s="42">
        <v>1</v>
      </c>
      <c r="G8" s="19">
        <v>1</v>
      </c>
      <c r="H8" s="40">
        <v>1</v>
      </c>
      <c r="I8" s="44" t="s">
        <v>107</v>
      </c>
    </row>
    <row r="9" spans="1:9" x14ac:dyDescent="0.3">
      <c r="A9" s="9"/>
      <c r="B9" s="10" t="s">
        <v>24</v>
      </c>
      <c r="C9" s="11"/>
      <c r="D9" s="11"/>
      <c r="E9" s="11"/>
      <c r="F9" s="42">
        <v>1</v>
      </c>
      <c r="G9" s="19">
        <v>1</v>
      </c>
      <c r="H9" s="40">
        <v>1</v>
      </c>
      <c r="I9" s="44" t="s">
        <v>107</v>
      </c>
    </row>
    <row r="10" spans="1:9" x14ac:dyDescent="0.3">
      <c r="A10" s="9">
        <v>45769</v>
      </c>
      <c r="B10" s="10" t="str">
        <f t="shared" ref="B10:B12" si="0">CONCATENATE(YEAR(A10),".",_xlfn.ISOWEEKNUM(A10))</f>
        <v>2025.17</v>
      </c>
      <c r="C10" s="11">
        <v>298</v>
      </c>
      <c r="D10" s="11">
        <v>8</v>
      </c>
      <c r="E10" s="11">
        <v>8</v>
      </c>
      <c r="F10" s="42">
        <v>1</v>
      </c>
      <c r="G10" s="19">
        <v>1</v>
      </c>
      <c r="H10" s="40">
        <v>1</v>
      </c>
      <c r="I10" s="44" t="s">
        <v>107</v>
      </c>
    </row>
    <row r="11" spans="1:9" x14ac:dyDescent="0.3">
      <c r="A11" s="9">
        <v>45776</v>
      </c>
      <c r="B11" s="10" t="str">
        <f t="shared" si="0"/>
        <v>2025.18</v>
      </c>
      <c r="C11" s="11">
        <v>298</v>
      </c>
      <c r="D11" s="11">
        <v>4</v>
      </c>
      <c r="E11" s="11">
        <v>4</v>
      </c>
      <c r="F11" s="42">
        <v>1</v>
      </c>
      <c r="G11" s="19">
        <v>0.98329999999999995</v>
      </c>
      <c r="H11" s="40">
        <v>1</v>
      </c>
      <c r="I11" s="44" t="s">
        <v>107</v>
      </c>
    </row>
    <row r="12" spans="1:9" x14ac:dyDescent="0.3">
      <c r="A12" s="9">
        <v>45782</v>
      </c>
      <c r="B12" s="10" t="str">
        <f t="shared" si="0"/>
        <v>2025.19</v>
      </c>
      <c r="C12" s="11">
        <v>277</v>
      </c>
      <c r="D12" s="11">
        <v>8</v>
      </c>
      <c r="E12" s="11">
        <v>0</v>
      </c>
      <c r="F12" s="42">
        <v>1</v>
      </c>
      <c r="G12" s="19">
        <v>0.98329999999999995</v>
      </c>
      <c r="H12" s="40">
        <v>1</v>
      </c>
      <c r="I12" s="44" t="s">
        <v>107</v>
      </c>
    </row>
    <row r="13" spans="1:9" x14ac:dyDescent="0.3">
      <c r="A13" s="9">
        <v>45789</v>
      </c>
      <c r="B13" s="10" t="s">
        <v>109</v>
      </c>
      <c r="C13" s="11">
        <v>291</v>
      </c>
      <c r="D13" s="11">
        <v>8</v>
      </c>
      <c r="E13" s="11">
        <v>0</v>
      </c>
      <c r="F13" s="42">
        <v>1</v>
      </c>
      <c r="G13" s="19">
        <f>1-(D13/C13)</f>
        <v>0.97250859106529208</v>
      </c>
      <c r="H13" s="40">
        <v>1</v>
      </c>
      <c r="I13" s="44" t="s">
        <v>107</v>
      </c>
    </row>
    <row r="14" spans="1:9" x14ac:dyDescent="0.3">
      <c r="A14" s="9">
        <v>45801</v>
      </c>
      <c r="B14" s="10" t="s">
        <v>124</v>
      </c>
      <c r="C14" s="11">
        <v>296</v>
      </c>
      <c r="D14" s="11">
        <v>8</v>
      </c>
      <c r="E14" s="11">
        <v>0</v>
      </c>
      <c r="F14" s="42">
        <v>1</v>
      </c>
      <c r="G14" s="19">
        <v>0.98529999999999995</v>
      </c>
      <c r="H14" s="40">
        <v>1</v>
      </c>
      <c r="I14" s="44" t="s">
        <v>107</v>
      </c>
    </row>
    <row r="15" spans="1:9" x14ac:dyDescent="0.3">
      <c r="A15" s="9">
        <v>45811</v>
      </c>
      <c r="B15" s="10" t="s">
        <v>125</v>
      </c>
      <c r="C15" s="11">
        <v>295</v>
      </c>
      <c r="D15" s="11">
        <v>17</v>
      </c>
      <c r="E15" s="11">
        <v>13</v>
      </c>
      <c r="F15" s="42">
        <v>1</v>
      </c>
      <c r="G15" s="19">
        <v>0.96289999999999998</v>
      </c>
      <c r="H15" s="40">
        <v>1</v>
      </c>
      <c r="I15" s="44" t="s">
        <v>107</v>
      </c>
    </row>
    <row r="16" spans="1:9" x14ac:dyDescent="0.3">
      <c r="A16" s="9">
        <v>45818</v>
      </c>
      <c r="B16" s="10" t="s">
        <v>126</v>
      </c>
      <c r="C16" s="11">
        <v>287</v>
      </c>
      <c r="D16" s="11">
        <v>17</v>
      </c>
      <c r="E16" s="11">
        <v>13</v>
      </c>
      <c r="F16" s="42">
        <v>1</v>
      </c>
      <c r="G16" s="19">
        <v>0.96509999999999996</v>
      </c>
      <c r="H16" s="40">
        <v>1</v>
      </c>
      <c r="I16" s="44" t="s">
        <v>107</v>
      </c>
    </row>
    <row r="17" spans="1:9" x14ac:dyDescent="0.3">
      <c r="A17" s="9">
        <v>45824</v>
      </c>
      <c r="B17" s="10" t="s">
        <v>127</v>
      </c>
      <c r="C17" s="11">
        <v>292</v>
      </c>
      <c r="D17" s="11">
        <v>17</v>
      </c>
      <c r="E17" s="11">
        <v>13</v>
      </c>
      <c r="F17" s="42">
        <v>1</v>
      </c>
      <c r="G17" s="19">
        <v>0.96509999999999996</v>
      </c>
      <c r="H17" s="40">
        <v>1</v>
      </c>
      <c r="I17" s="44" t="s">
        <v>107</v>
      </c>
    </row>
    <row r="18" spans="1:9" x14ac:dyDescent="0.3">
      <c r="A18" s="9">
        <v>45832</v>
      </c>
      <c r="B18" s="10" t="s">
        <v>128</v>
      </c>
      <c r="C18" s="11">
        <v>274</v>
      </c>
      <c r="D18" s="11">
        <v>17</v>
      </c>
      <c r="E18" s="11">
        <v>13</v>
      </c>
      <c r="F18" s="42">
        <v>1</v>
      </c>
      <c r="G18" s="19">
        <f>1-((D18-E18)/(C18))</f>
        <v>0.98540145985401462</v>
      </c>
      <c r="H18" s="40">
        <v>1</v>
      </c>
      <c r="I18" s="44" t="s">
        <v>107</v>
      </c>
    </row>
    <row r="19" spans="1:9" x14ac:dyDescent="0.3">
      <c r="A19" s="9">
        <v>45839</v>
      </c>
      <c r="B19" s="10" t="s">
        <v>129</v>
      </c>
      <c r="C19" s="11">
        <v>246</v>
      </c>
      <c r="D19" s="11">
        <v>7</v>
      </c>
      <c r="E19" s="11">
        <v>0</v>
      </c>
      <c r="F19" s="42">
        <v>1</v>
      </c>
      <c r="G19" s="19">
        <f>1-((D19-E19)/(C19))</f>
        <v>0.97154471544715448</v>
      </c>
      <c r="H19" s="40">
        <v>1</v>
      </c>
      <c r="I19" s="44" t="s">
        <v>107</v>
      </c>
    </row>
    <row r="20" spans="1:9" x14ac:dyDescent="0.3">
      <c r="A20" s="9">
        <v>45846</v>
      </c>
      <c r="B20" s="10" t="s">
        <v>130</v>
      </c>
      <c r="C20" s="11">
        <v>252</v>
      </c>
      <c r="D20" s="11">
        <v>7</v>
      </c>
      <c r="E20" s="11">
        <v>0</v>
      </c>
      <c r="F20" s="42">
        <v>1</v>
      </c>
      <c r="G20" s="19">
        <f>1-((D20-E20)/(C20))</f>
        <v>0.97222222222222221</v>
      </c>
      <c r="H20" s="40">
        <v>1</v>
      </c>
      <c r="I20" s="44" t="s">
        <v>107</v>
      </c>
    </row>
    <row r="21" spans="1:9" x14ac:dyDescent="0.3">
      <c r="A21" s="9">
        <v>45854</v>
      </c>
      <c r="B21" s="10" t="s">
        <v>131</v>
      </c>
      <c r="C21" s="11">
        <v>250</v>
      </c>
      <c r="D21" s="11">
        <v>6</v>
      </c>
      <c r="E21" s="11">
        <v>0</v>
      </c>
      <c r="F21" s="42">
        <v>1</v>
      </c>
      <c r="G21" s="19">
        <v>0.98970000000000002</v>
      </c>
      <c r="H21" s="40">
        <v>1</v>
      </c>
      <c r="I21" s="44" t="s">
        <v>107</v>
      </c>
    </row>
    <row r="22" spans="1:9" x14ac:dyDescent="0.3">
      <c r="A22" s="9">
        <v>45860</v>
      </c>
      <c r="B22" s="10" t="s">
        <v>133</v>
      </c>
      <c r="C22" s="11">
        <v>252</v>
      </c>
      <c r="D22" s="11">
        <v>6</v>
      </c>
      <c r="E22" s="11">
        <v>0</v>
      </c>
      <c r="F22" s="42">
        <v>1</v>
      </c>
      <c r="G22" s="19">
        <v>0.98970000000000002</v>
      </c>
      <c r="H22" s="40">
        <v>1</v>
      </c>
      <c r="I22" s="44" t="s">
        <v>107</v>
      </c>
    </row>
    <row r="23" spans="1:9" x14ac:dyDescent="0.3">
      <c r="A23" s="9">
        <v>45867</v>
      </c>
      <c r="B23" s="10" t="s">
        <v>136</v>
      </c>
      <c r="C23" s="11">
        <v>250</v>
      </c>
      <c r="D23" s="11">
        <v>6</v>
      </c>
      <c r="E23" s="11">
        <v>0</v>
      </c>
      <c r="F23" s="42">
        <v>1</v>
      </c>
      <c r="G23" s="19">
        <v>0.98970000000000002</v>
      </c>
      <c r="H23" s="40">
        <v>1</v>
      </c>
      <c r="I23" s="44" t="s">
        <v>107</v>
      </c>
    </row>
    <row r="24" spans="1:9" x14ac:dyDescent="0.3">
      <c r="A24" s="9">
        <v>45874</v>
      </c>
      <c r="B24" s="10" t="s">
        <v>138</v>
      </c>
      <c r="C24" s="11">
        <v>237</v>
      </c>
      <c r="D24" s="11"/>
      <c r="E24" s="11"/>
      <c r="F24" s="42">
        <v>1</v>
      </c>
      <c r="G24" s="19">
        <v>0.98480000000000001</v>
      </c>
      <c r="H24" s="40">
        <v>1</v>
      </c>
      <c r="I24" s="44" t="s">
        <v>107</v>
      </c>
    </row>
    <row r="25" spans="1:9" x14ac:dyDescent="0.3">
      <c r="A25" s="9">
        <v>45881</v>
      </c>
      <c r="B25" s="10" t="s">
        <v>140</v>
      </c>
      <c r="C25" s="11">
        <v>242</v>
      </c>
      <c r="D25" s="11"/>
      <c r="E25" s="11"/>
      <c r="F25" s="42">
        <v>1</v>
      </c>
      <c r="G25" s="19">
        <v>0.98860000000000003</v>
      </c>
      <c r="H25" s="40">
        <v>1</v>
      </c>
      <c r="I25" s="44" t="s">
        <v>107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16"/>
  <sheetViews>
    <sheetView workbookViewId="0">
      <pane ySplit="1" topLeftCell="A2" activePane="bottomLeft" state="frozen"/>
      <selection pane="bottomLeft" activeCell="C20" sqref="C20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x14ac:dyDescent="0.3">
      <c r="A2" s="9">
        <v>45776</v>
      </c>
      <c r="B2" s="10" t="str">
        <f t="shared" ref="B2:B3" si="0">CONCATENATE(YEAR(A2),".",_xlfn.ISOWEEKNUM(A2))</f>
        <v>2025.18</v>
      </c>
      <c r="C2" s="11">
        <v>8</v>
      </c>
      <c r="D2" s="39">
        <v>10</v>
      </c>
      <c r="E2" s="44" t="s">
        <v>106</v>
      </c>
    </row>
    <row r="3" spans="1:5" x14ac:dyDescent="0.3">
      <c r="A3" s="9">
        <v>45782</v>
      </c>
      <c r="B3" s="10" t="str">
        <f t="shared" si="0"/>
        <v>2025.19</v>
      </c>
      <c r="C3" s="11">
        <v>10</v>
      </c>
      <c r="D3" s="39">
        <v>10</v>
      </c>
      <c r="E3" s="44" t="s">
        <v>106</v>
      </c>
    </row>
    <row r="4" spans="1:5" x14ac:dyDescent="0.3">
      <c r="A4" s="9">
        <v>45789</v>
      </c>
      <c r="B4" s="10" t="s">
        <v>109</v>
      </c>
      <c r="C4" s="11">
        <v>5</v>
      </c>
      <c r="D4" s="39">
        <v>10</v>
      </c>
      <c r="E4" s="44" t="s">
        <v>106</v>
      </c>
    </row>
    <row r="5" spans="1:5" x14ac:dyDescent="0.3">
      <c r="A5" s="9">
        <v>45804</v>
      </c>
      <c r="B5" s="10" t="s">
        <v>124</v>
      </c>
      <c r="C5" s="11">
        <v>8</v>
      </c>
      <c r="D5" s="39">
        <v>10</v>
      </c>
      <c r="E5" s="44" t="s">
        <v>106</v>
      </c>
    </row>
    <row r="6" spans="1:5" x14ac:dyDescent="0.3">
      <c r="A6" s="9">
        <v>45811</v>
      </c>
      <c r="B6" s="10" t="s">
        <v>125</v>
      </c>
      <c r="C6" s="11">
        <v>9</v>
      </c>
      <c r="D6" s="39">
        <v>10</v>
      </c>
      <c r="E6" s="44" t="s">
        <v>106</v>
      </c>
    </row>
    <row r="7" spans="1:5" x14ac:dyDescent="0.3">
      <c r="A7" s="9">
        <v>45818</v>
      </c>
      <c r="B7" s="10" t="s">
        <v>126</v>
      </c>
      <c r="C7" s="11">
        <v>8</v>
      </c>
      <c r="D7" s="39">
        <v>10</v>
      </c>
      <c r="E7" s="44" t="s">
        <v>106</v>
      </c>
    </row>
    <row r="8" spans="1:5" x14ac:dyDescent="0.3">
      <c r="A8" s="9">
        <v>45824</v>
      </c>
      <c r="B8" s="10" t="s">
        <v>127</v>
      </c>
      <c r="C8" s="11">
        <v>8</v>
      </c>
      <c r="D8" s="39">
        <v>10</v>
      </c>
      <c r="E8" s="44" t="s">
        <v>106</v>
      </c>
    </row>
    <row r="9" spans="1:5" x14ac:dyDescent="0.3">
      <c r="A9" s="9">
        <v>45832</v>
      </c>
      <c r="B9" s="10" t="s">
        <v>128</v>
      </c>
      <c r="C9" s="11">
        <v>10</v>
      </c>
      <c r="D9" s="39">
        <v>10</v>
      </c>
      <c r="E9" s="44" t="s">
        <v>106</v>
      </c>
    </row>
    <row r="10" spans="1:5" x14ac:dyDescent="0.3">
      <c r="A10" s="9">
        <v>45839</v>
      </c>
      <c r="B10" s="10" t="s">
        <v>129</v>
      </c>
      <c r="C10" s="11">
        <v>8</v>
      </c>
      <c r="D10" s="39">
        <v>10</v>
      </c>
      <c r="E10" s="44" t="s">
        <v>106</v>
      </c>
    </row>
    <row r="11" spans="1:5" x14ac:dyDescent="0.3">
      <c r="A11" s="9">
        <v>45846</v>
      </c>
      <c r="B11" s="10" t="s">
        <v>130</v>
      </c>
      <c r="C11" s="11">
        <v>9</v>
      </c>
      <c r="D11" s="39">
        <v>10</v>
      </c>
      <c r="E11" s="44" t="s">
        <v>106</v>
      </c>
    </row>
    <row r="12" spans="1:5" x14ac:dyDescent="0.3">
      <c r="A12" s="9">
        <v>45854</v>
      </c>
      <c r="B12" s="10" t="s">
        <v>131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45860</v>
      </c>
      <c r="B13" s="10" t="s">
        <v>132</v>
      </c>
      <c r="C13" s="11">
        <v>7</v>
      </c>
      <c r="D13" s="39">
        <v>10</v>
      </c>
      <c r="E13" s="44" t="s">
        <v>106</v>
      </c>
    </row>
    <row r="14" spans="1:5" x14ac:dyDescent="0.3">
      <c r="A14" s="9">
        <v>45867</v>
      </c>
      <c r="B14" s="10" t="s">
        <v>135</v>
      </c>
      <c r="C14" s="11">
        <v>10</v>
      </c>
      <c r="D14" s="39">
        <v>10</v>
      </c>
      <c r="E14" s="44" t="s">
        <v>106</v>
      </c>
    </row>
    <row r="15" spans="1:5" x14ac:dyDescent="0.3">
      <c r="A15" s="9">
        <v>45874</v>
      </c>
      <c r="B15" s="10" t="s">
        <v>137</v>
      </c>
      <c r="C15" s="11">
        <v>12</v>
      </c>
      <c r="D15" s="39">
        <v>10</v>
      </c>
      <c r="E15" s="44" t="s">
        <v>106</v>
      </c>
    </row>
    <row r="16" spans="1:5" x14ac:dyDescent="0.3">
      <c r="A16" s="9">
        <v>45881</v>
      </c>
      <c r="B16" s="10" t="s">
        <v>139</v>
      </c>
      <c r="C16" s="11">
        <v>5</v>
      </c>
      <c r="D16" s="39">
        <v>10</v>
      </c>
      <c r="E16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1"/>
  <sheetViews>
    <sheetView workbookViewId="0">
      <pane ySplit="1" topLeftCell="A23" activePane="bottomLeft" state="frozen"/>
      <selection pane="bottomLeft" activeCell="E31" sqref="E31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x14ac:dyDescent="0.3">
      <c r="A2" s="9">
        <v>45660</v>
      </c>
      <c r="B2" s="44" t="s">
        <v>34</v>
      </c>
      <c r="C2" s="11">
        <v>63</v>
      </c>
      <c r="D2" s="34">
        <v>50</v>
      </c>
      <c r="E2" s="44" t="s">
        <v>106</v>
      </c>
    </row>
    <row r="3" spans="1:5" x14ac:dyDescent="0.3">
      <c r="A3" s="9">
        <v>45663</v>
      </c>
      <c r="B3" s="44" t="s">
        <v>35</v>
      </c>
      <c r="C3" s="11">
        <v>64</v>
      </c>
      <c r="D3" s="34">
        <v>50</v>
      </c>
      <c r="E3" s="44" t="s">
        <v>106</v>
      </c>
    </row>
    <row r="4" spans="1:5" x14ac:dyDescent="0.3">
      <c r="A4" s="9">
        <v>45670</v>
      </c>
      <c r="B4" s="44" t="s">
        <v>36</v>
      </c>
      <c r="C4" s="11">
        <v>69</v>
      </c>
      <c r="D4" s="34">
        <v>50</v>
      </c>
      <c r="E4" s="44" t="s">
        <v>106</v>
      </c>
    </row>
    <row r="5" spans="1:5" x14ac:dyDescent="0.3">
      <c r="A5" s="9">
        <v>45677</v>
      </c>
      <c r="B5" s="44" t="s">
        <v>37</v>
      </c>
      <c r="C5" s="11">
        <v>74</v>
      </c>
      <c r="D5" s="34">
        <v>50</v>
      </c>
      <c r="E5" s="44" t="s">
        <v>106</v>
      </c>
    </row>
    <row r="6" spans="1:5" x14ac:dyDescent="0.3">
      <c r="A6" s="9">
        <v>45691</v>
      </c>
      <c r="B6" s="44" t="s">
        <v>39</v>
      </c>
      <c r="C6" s="11">
        <v>80</v>
      </c>
      <c r="D6" s="34">
        <v>50</v>
      </c>
      <c r="E6" s="44" t="s">
        <v>106</v>
      </c>
    </row>
    <row r="7" spans="1:5" x14ac:dyDescent="0.3">
      <c r="A7" s="9">
        <v>45700</v>
      </c>
      <c r="B7" s="44" t="s">
        <v>40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45707</v>
      </c>
      <c r="B8" s="44" t="s">
        <v>27</v>
      </c>
      <c r="C8" s="11">
        <v>75</v>
      </c>
      <c r="D8" s="34">
        <v>50</v>
      </c>
      <c r="E8" s="44" t="s">
        <v>106</v>
      </c>
    </row>
    <row r="9" spans="1:5" x14ac:dyDescent="0.3">
      <c r="A9" s="9">
        <v>45712</v>
      </c>
      <c r="B9" s="44" t="s">
        <v>28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45722</v>
      </c>
      <c r="B10" s="44" t="str">
        <f t="shared" ref="B10:B31" si="0">CONCATENATE(YEAR(A10),".",_xlfn.ISOWEEKNUM(A10))</f>
        <v>2025.10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45726</v>
      </c>
      <c r="B11" s="44" t="str">
        <f t="shared" si="0"/>
        <v>2025.11</v>
      </c>
      <c r="C11" s="11">
        <v>69</v>
      </c>
      <c r="D11" s="34">
        <v>50</v>
      </c>
      <c r="E11" s="44" t="s">
        <v>106</v>
      </c>
    </row>
    <row r="12" spans="1:5" x14ac:dyDescent="0.3">
      <c r="A12" s="9">
        <v>45735</v>
      </c>
      <c r="B12" s="44" t="str">
        <f t="shared" si="0"/>
        <v>2025.12</v>
      </c>
      <c r="C12" s="11">
        <v>68</v>
      </c>
      <c r="D12" s="34">
        <v>50</v>
      </c>
      <c r="E12" s="44" t="s">
        <v>106</v>
      </c>
    </row>
    <row r="13" spans="1:5" x14ac:dyDescent="0.3">
      <c r="A13" s="9">
        <v>45742</v>
      </c>
      <c r="B13" s="44" t="str">
        <f t="shared" si="0"/>
        <v>2025.13</v>
      </c>
      <c r="C13" s="11">
        <v>67</v>
      </c>
      <c r="D13" s="34">
        <v>50</v>
      </c>
      <c r="E13" s="44" t="s">
        <v>106</v>
      </c>
    </row>
    <row r="14" spans="1:5" x14ac:dyDescent="0.3">
      <c r="A14" s="9">
        <v>45747</v>
      </c>
      <c r="B14" s="44" t="str">
        <f t="shared" si="0"/>
        <v>2025.14</v>
      </c>
      <c r="C14" s="11">
        <v>65</v>
      </c>
      <c r="D14" s="34">
        <v>50</v>
      </c>
      <c r="E14" s="44" t="s">
        <v>106</v>
      </c>
    </row>
    <row r="15" spans="1:5" x14ac:dyDescent="0.3">
      <c r="A15" s="9">
        <v>45756</v>
      </c>
      <c r="B15" s="44" t="str">
        <f t="shared" si="0"/>
        <v>2025.15</v>
      </c>
      <c r="C15" s="11">
        <v>68</v>
      </c>
      <c r="D15" s="34">
        <v>50</v>
      </c>
      <c r="E15" s="44" t="s">
        <v>106</v>
      </c>
    </row>
    <row r="16" spans="1:5" x14ac:dyDescent="0.3">
      <c r="A16" s="9">
        <v>45763</v>
      </c>
      <c r="B16" s="44" t="str">
        <f t="shared" si="0"/>
        <v>2025.16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45769</v>
      </c>
      <c r="B17" s="44" t="str">
        <f t="shared" si="0"/>
        <v>2025.17</v>
      </c>
      <c r="C17" s="11">
        <v>70</v>
      </c>
      <c r="D17" s="34">
        <v>50</v>
      </c>
      <c r="E17" s="44" t="s">
        <v>106</v>
      </c>
    </row>
    <row r="18" spans="1:5" x14ac:dyDescent="0.3">
      <c r="A18" s="9">
        <v>45776</v>
      </c>
      <c r="B18" s="44" t="str">
        <f t="shared" si="0"/>
        <v>2025.18</v>
      </c>
      <c r="C18" s="11">
        <v>65</v>
      </c>
      <c r="D18" s="34">
        <v>50</v>
      </c>
      <c r="E18" s="44" t="s">
        <v>106</v>
      </c>
    </row>
    <row r="19" spans="1:5" x14ac:dyDescent="0.3">
      <c r="A19" s="9">
        <v>45782</v>
      </c>
      <c r="B19" s="44" t="str">
        <f t="shared" si="0"/>
        <v>2025.19</v>
      </c>
      <c r="C19" s="11">
        <v>91</v>
      </c>
      <c r="D19" s="34">
        <v>50</v>
      </c>
      <c r="E19" s="44" t="s">
        <v>106</v>
      </c>
    </row>
    <row r="20" spans="1:5" x14ac:dyDescent="0.3">
      <c r="A20" s="9">
        <v>45789</v>
      </c>
      <c r="B20" s="44" t="str">
        <f t="shared" si="0"/>
        <v>2025.20</v>
      </c>
      <c r="C20" s="11">
        <v>100</v>
      </c>
      <c r="D20" s="34">
        <v>50</v>
      </c>
      <c r="E20" s="44" t="s">
        <v>106</v>
      </c>
    </row>
    <row r="21" spans="1:5" x14ac:dyDescent="0.3">
      <c r="A21" s="9">
        <v>45804</v>
      </c>
      <c r="B21" s="44" t="str">
        <f t="shared" si="0"/>
        <v>2025.22</v>
      </c>
      <c r="C21" s="11">
        <v>89</v>
      </c>
      <c r="D21" s="34">
        <v>50</v>
      </c>
      <c r="E21" s="44" t="s">
        <v>106</v>
      </c>
    </row>
    <row r="22" spans="1:5" x14ac:dyDescent="0.3">
      <c r="A22" s="9">
        <v>45811</v>
      </c>
      <c r="B22" s="44" t="str">
        <f t="shared" si="0"/>
        <v>2025.23</v>
      </c>
      <c r="C22" s="11">
        <v>95</v>
      </c>
      <c r="D22" s="34">
        <v>50</v>
      </c>
      <c r="E22" s="44" t="s">
        <v>106</v>
      </c>
    </row>
    <row r="23" spans="1:5" x14ac:dyDescent="0.3">
      <c r="A23" s="9">
        <v>45818</v>
      </c>
      <c r="B23" s="44" t="str">
        <f t="shared" si="0"/>
        <v>2025.24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45824</v>
      </c>
      <c r="B24" s="44" t="str">
        <f t="shared" si="0"/>
        <v>2025.25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45839</v>
      </c>
      <c r="B25" s="44" t="str">
        <f t="shared" si="0"/>
        <v>2025.27</v>
      </c>
      <c r="C25" s="11">
        <v>92</v>
      </c>
      <c r="D25" s="34">
        <v>50</v>
      </c>
      <c r="E25" s="44" t="s">
        <v>106</v>
      </c>
    </row>
    <row r="26" spans="1:5" x14ac:dyDescent="0.3">
      <c r="A26" s="9">
        <v>45846</v>
      </c>
      <c r="B26" s="44" t="str">
        <f t="shared" si="0"/>
        <v>2025.28</v>
      </c>
      <c r="C26" s="11">
        <v>91</v>
      </c>
      <c r="D26" s="34">
        <v>50</v>
      </c>
      <c r="E26" s="44" t="s">
        <v>106</v>
      </c>
    </row>
    <row r="27" spans="1:5" x14ac:dyDescent="0.3">
      <c r="A27" s="9">
        <v>45854</v>
      </c>
      <c r="B27" s="44" t="str">
        <f t="shared" si="0"/>
        <v>2025.29</v>
      </c>
      <c r="C27" s="11">
        <v>87</v>
      </c>
      <c r="D27" s="34">
        <v>50</v>
      </c>
      <c r="E27" s="44" t="s">
        <v>106</v>
      </c>
    </row>
    <row r="28" spans="1:5" x14ac:dyDescent="0.3">
      <c r="A28" s="9">
        <v>45860</v>
      </c>
      <c r="B28" s="44" t="str">
        <f t="shared" si="0"/>
        <v>2025.30</v>
      </c>
      <c r="C28" s="11">
        <v>92</v>
      </c>
      <c r="D28" s="34">
        <v>50</v>
      </c>
      <c r="E28" s="44" t="s">
        <v>106</v>
      </c>
    </row>
    <row r="29" spans="1:5" x14ac:dyDescent="0.3">
      <c r="A29" s="9">
        <v>45867</v>
      </c>
      <c r="B29" s="44" t="str">
        <f t="shared" si="0"/>
        <v>2025.31</v>
      </c>
      <c r="C29" s="11">
        <v>78</v>
      </c>
      <c r="D29" s="34">
        <v>50</v>
      </c>
      <c r="E29" s="44" t="s">
        <v>106</v>
      </c>
    </row>
    <row r="30" spans="1:5" x14ac:dyDescent="0.3">
      <c r="A30" s="9">
        <v>45874</v>
      </c>
      <c r="B30" s="44" t="str">
        <f t="shared" si="0"/>
        <v>2025.32</v>
      </c>
      <c r="C30" s="11">
        <v>77</v>
      </c>
      <c r="D30" s="34">
        <v>50</v>
      </c>
      <c r="E30" s="44" t="s">
        <v>106</v>
      </c>
    </row>
    <row r="31" spans="1:5" x14ac:dyDescent="0.3">
      <c r="A31" s="9">
        <v>45881</v>
      </c>
      <c r="B31" s="44" t="str">
        <f t="shared" si="0"/>
        <v>2025.33</v>
      </c>
      <c r="C31" s="11">
        <v>79</v>
      </c>
      <c r="D31" s="34">
        <v>50</v>
      </c>
      <c r="E31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2"/>
  <sheetViews>
    <sheetView workbookViewId="0">
      <pane ySplit="1" topLeftCell="A17" activePane="bottomLeft" state="frozen"/>
      <selection pane="bottomLeft" activeCell="E36" sqref="E36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x14ac:dyDescent="0.3">
      <c r="A2" s="9">
        <v>45660</v>
      </c>
      <c r="B2" s="10" t="s">
        <v>34</v>
      </c>
      <c r="C2" s="11">
        <v>13</v>
      </c>
      <c r="D2" s="34">
        <v>20</v>
      </c>
      <c r="E2" s="44" t="s">
        <v>106</v>
      </c>
    </row>
    <row r="3" spans="1:5" x14ac:dyDescent="0.3">
      <c r="A3" s="9">
        <v>45663</v>
      </c>
      <c r="B3" s="10" t="s">
        <v>35</v>
      </c>
      <c r="C3" s="11">
        <v>14</v>
      </c>
      <c r="D3" s="34">
        <v>20</v>
      </c>
      <c r="E3" s="44" t="s">
        <v>106</v>
      </c>
    </row>
    <row r="4" spans="1:5" x14ac:dyDescent="0.3">
      <c r="A4" s="9">
        <v>45670</v>
      </c>
      <c r="B4" s="10" t="s">
        <v>36</v>
      </c>
      <c r="C4" s="11">
        <v>18</v>
      </c>
      <c r="D4" s="34">
        <v>20</v>
      </c>
      <c r="E4" s="44" t="s">
        <v>106</v>
      </c>
    </row>
    <row r="5" spans="1:5" x14ac:dyDescent="0.3">
      <c r="A5" s="9">
        <v>45677</v>
      </c>
      <c r="B5" s="10" t="s">
        <v>37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45691</v>
      </c>
      <c r="B6" s="10" t="s">
        <v>39</v>
      </c>
      <c r="C6" s="11">
        <v>22</v>
      </c>
      <c r="D6" s="34">
        <v>20</v>
      </c>
      <c r="E6" s="44" t="s">
        <v>106</v>
      </c>
    </row>
    <row r="7" spans="1:5" x14ac:dyDescent="0.3">
      <c r="A7" s="9">
        <v>45700</v>
      </c>
      <c r="B7" s="10" t="s">
        <v>40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45707</v>
      </c>
      <c r="B8" s="10" t="s">
        <v>27</v>
      </c>
      <c r="C8" s="11">
        <v>17</v>
      </c>
      <c r="D8" s="34">
        <v>20</v>
      </c>
      <c r="E8" s="44" t="s">
        <v>106</v>
      </c>
    </row>
    <row r="9" spans="1:5" x14ac:dyDescent="0.3">
      <c r="A9" s="9">
        <v>45712</v>
      </c>
      <c r="B9" s="10" t="s">
        <v>28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45722</v>
      </c>
      <c r="B10" s="10" t="str">
        <f t="shared" ref="B10:B18" si="0">CONCATENATE(YEAR(A10),".",_xlfn.ISOWEEKNUM(A10))</f>
        <v>2025.10</v>
      </c>
      <c r="C10" s="11">
        <v>22</v>
      </c>
      <c r="D10" s="34">
        <v>20</v>
      </c>
      <c r="E10" s="44" t="s">
        <v>106</v>
      </c>
    </row>
    <row r="11" spans="1:5" x14ac:dyDescent="0.3">
      <c r="A11" s="9">
        <v>45726</v>
      </c>
      <c r="B11" s="10" t="str">
        <f t="shared" si="0"/>
        <v>2025.11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45735</v>
      </c>
      <c r="B12" s="10" t="str">
        <f t="shared" si="0"/>
        <v>2025.12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45742</v>
      </c>
      <c r="B13" s="10" t="str">
        <f t="shared" si="0"/>
        <v>2025.13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45747</v>
      </c>
      <c r="B14" s="10" t="str">
        <f t="shared" si="0"/>
        <v>2025.14</v>
      </c>
      <c r="C14" s="11">
        <v>21</v>
      </c>
      <c r="D14" s="34">
        <v>20</v>
      </c>
      <c r="E14" s="44" t="s">
        <v>106</v>
      </c>
    </row>
    <row r="15" spans="1:5" x14ac:dyDescent="0.3">
      <c r="A15" s="9">
        <v>45756</v>
      </c>
      <c r="B15" s="10" t="str">
        <f t="shared" si="0"/>
        <v>2025.15</v>
      </c>
      <c r="C15" s="11">
        <v>27</v>
      </c>
      <c r="D15" s="34">
        <v>20</v>
      </c>
      <c r="E15" s="44" t="s">
        <v>106</v>
      </c>
    </row>
    <row r="16" spans="1:5" x14ac:dyDescent="0.3">
      <c r="A16" s="9">
        <v>45763</v>
      </c>
      <c r="B16" s="10" t="str">
        <f t="shared" si="0"/>
        <v>2025.16</v>
      </c>
      <c r="C16" s="11">
        <v>28</v>
      </c>
      <c r="D16" s="34">
        <v>20</v>
      </c>
      <c r="E16" s="44" t="s">
        <v>106</v>
      </c>
    </row>
    <row r="17" spans="1:5" x14ac:dyDescent="0.3">
      <c r="A17" s="9">
        <v>45769</v>
      </c>
      <c r="B17" s="10" t="str">
        <f t="shared" si="0"/>
        <v>2025.17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45776</v>
      </c>
      <c r="B18" s="10" t="str">
        <f t="shared" si="0"/>
        <v>2025.18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45782</v>
      </c>
      <c r="B19" s="10" t="str">
        <f t="shared" ref="B19:B24" si="1">CONCATENATE(YEAR(A19),".",_xlfn.ISOWEEKNUM(A19))</f>
        <v>2025.19</v>
      </c>
      <c r="C19" s="11">
        <v>36</v>
      </c>
      <c r="D19" s="34">
        <v>20</v>
      </c>
      <c r="E19" s="44" t="s">
        <v>106</v>
      </c>
    </row>
    <row r="20" spans="1:5" x14ac:dyDescent="0.3">
      <c r="A20" s="9">
        <v>45789</v>
      </c>
      <c r="B20" s="10" t="str">
        <f t="shared" si="1"/>
        <v>2025.20</v>
      </c>
      <c r="C20" s="11">
        <v>39</v>
      </c>
      <c r="D20" s="34">
        <v>20</v>
      </c>
      <c r="E20" s="44" t="s">
        <v>106</v>
      </c>
    </row>
    <row r="21" spans="1:5" x14ac:dyDescent="0.3">
      <c r="A21" s="9">
        <v>45804</v>
      </c>
      <c r="B21" s="10" t="str">
        <f t="shared" si="1"/>
        <v>2025.22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45811</v>
      </c>
      <c r="B22" s="10" t="str">
        <f t="shared" si="1"/>
        <v>2025.23</v>
      </c>
      <c r="C22" s="11">
        <v>45</v>
      </c>
      <c r="D22" s="34">
        <v>20</v>
      </c>
      <c r="E22" s="44" t="s">
        <v>106</v>
      </c>
    </row>
    <row r="23" spans="1:5" x14ac:dyDescent="0.3">
      <c r="A23" s="9">
        <v>45818</v>
      </c>
      <c r="B23" s="10" t="str">
        <f t="shared" si="1"/>
        <v>2025.24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45824</v>
      </c>
      <c r="B24" s="10" t="str">
        <f t="shared" si="1"/>
        <v>2025.25</v>
      </c>
      <c r="C24" s="11">
        <v>48</v>
      </c>
      <c r="D24" s="34">
        <v>20</v>
      </c>
      <c r="E24" s="44" t="s">
        <v>106</v>
      </c>
    </row>
    <row r="25" spans="1:5" x14ac:dyDescent="0.3">
      <c r="A25" s="9">
        <v>45832</v>
      </c>
      <c r="B25" s="10" t="s">
        <v>129</v>
      </c>
      <c r="C25" s="11">
        <v>45</v>
      </c>
      <c r="D25" s="34">
        <v>20</v>
      </c>
      <c r="E25" s="44" t="s">
        <v>106</v>
      </c>
    </row>
    <row r="26" spans="1:5" x14ac:dyDescent="0.3">
      <c r="A26" s="9">
        <v>45839</v>
      </c>
      <c r="B26" s="10" t="s">
        <v>130</v>
      </c>
      <c r="C26" s="11">
        <v>43</v>
      </c>
      <c r="D26" s="34">
        <v>20</v>
      </c>
      <c r="E26" s="44" t="s">
        <v>106</v>
      </c>
    </row>
    <row r="27" spans="1:5" x14ac:dyDescent="0.3">
      <c r="A27" s="9">
        <v>45846</v>
      </c>
      <c r="B27" s="10" t="s">
        <v>131</v>
      </c>
      <c r="C27" s="11">
        <v>42</v>
      </c>
      <c r="D27" s="34">
        <v>20</v>
      </c>
      <c r="E27" s="44" t="s">
        <v>106</v>
      </c>
    </row>
    <row r="28" spans="1:5" x14ac:dyDescent="0.3">
      <c r="A28" s="9">
        <v>45854</v>
      </c>
      <c r="B28" s="10" t="s">
        <v>132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45860</v>
      </c>
      <c r="B29" s="10" t="s">
        <v>135</v>
      </c>
      <c r="C29" s="11">
        <v>48</v>
      </c>
      <c r="D29" s="34">
        <v>20</v>
      </c>
      <c r="E29" s="44" t="s">
        <v>106</v>
      </c>
    </row>
    <row r="30" spans="1:5" x14ac:dyDescent="0.3">
      <c r="A30" s="9">
        <v>45867</v>
      </c>
      <c r="B30" s="10" t="s">
        <v>137</v>
      </c>
      <c r="C30" s="11">
        <v>31</v>
      </c>
      <c r="D30" s="34">
        <v>20</v>
      </c>
      <c r="E30" s="44" t="s">
        <v>106</v>
      </c>
    </row>
    <row r="31" spans="1:5" x14ac:dyDescent="0.3">
      <c r="A31" s="9">
        <v>45874</v>
      </c>
      <c r="B31" s="10" t="s">
        <v>139</v>
      </c>
      <c r="C31" s="11">
        <v>32</v>
      </c>
      <c r="D31" s="34">
        <v>20</v>
      </c>
      <c r="E31" s="44" t="s">
        <v>106</v>
      </c>
    </row>
    <row r="32" spans="1:5" x14ac:dyDescent="0.3">
      <c r="A32" s="9">
        <v>45881</v>
      </c>
      <c r="B32" s="10" t="s">
        <v>139</v>
      </c>
      <c r="C32" s="11">
        <v>33</v>
      </c>
      <c r="D32" s="34">
        <v>20</v>
      </c>
      <c r="E32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J22" sqref="J22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3"/>
  <sheetViews>
    <sheetView workbookViewId="0">
      <pane ySplit="1" topLeftCell="A53" activePane="bottomLeft" state="frozen"/>
      <selection pane="bottomLeft" activeCell="G63" sqref="G63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3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135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x14ac:dyDescent="0.3">
      <c r="A62" s="10" t="s">
        <v>137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139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3"/>
  <sheetViews>
    <sheetView workbookViewId="0">
      <pane ySplit="1" topLeftCell="A47" activePane="bottomLeft" state="frozen"/>
      <selection pane="bottomLeft" activeCell="D70" sqref="D70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135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137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139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1"/>
  <sheetViews>
    <sheetView workbookViewId="0">
      <pane ySplit="1" topLeftCell="A54" activePane="bottomLeft" state="frozen"/>
      <selection pane="bottomLeft" activeCell="C72" sqref="C72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135</v>
      </c>
      <c r="B69" s="16">
        <v>1</v>
      </c>
      <c r="C69" s="16">
        <v>1</v>
      </c>
    </row>
    <row r="70" spans="1:3" x14ac:dyDescent="0.3">
      <c r="A70" s="28" t="s">
        <v>137</v>
      </c>
      <c r="B70" s="16">
        <v>1</v>
      </c>
      <c r="C70" s="16">
        <v>1</v>
      </c>
    </row>
    <row r="71" spans="1:3" x14ac:dyDescent="0.3">
      <c r="A71" s="28" t="s">
        <v>139</v>
      </c>
      <c r="B71" s="16">
        <v>1</v>
      </c>
      <c r="C71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tabSelected="1" workbookViewId="0">
      <pane ySplit="1" topLeftCell="A2" activePane="bottomLeft" state="frozen"/>
      <selection pane="bottomLeft" activeCell="E23" sqref="E23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2025-08-12T20:38:51Z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