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pedro_klauber_prestserv_petrobras_com_br1/Documents/C3/Banco de dados/"/>
    </mc:Choice>
  </mc:AlternateContent>
  <xr:revisionPtr revIDLastSave="720" documentId="8_{A2D22092-61F7-40F8-A3CB-EE4C820708D1}" xr6:coauthVersionLast="47" xr6:coauthVersionMax="47" xr10:uidLastSave="{8AD05AAC-F7CE-4714-8E96-31B83310E73C}"/>
  <bookViews>
    <workbookView xWindow="28680" yWindow="-45" windowWidth="29040" windowHeight="15720" firstSheet="11" activeTab="12" xr2:uid="{764A3B1C-4385-41E0-85B9-B2E5043E601B}"/>
  </bookViews>
  <sheets>
    <sheet name="BD_Plano_IE" sheetId="17" r:id="rId1"/>
    <sheet name="BD_foco_vazamentos" sheetId="16" r:id="rId2"/>
    <sheet name="BD_MBIN" sheetId="15" r:id="rId3"/>
    <sheet name="BD_IARI" sheetId="18" r:id="rId4"/>
    <sheet name="BD_PCFEO" sheetId="19" r:id="rId5"/>
    <sheet name="LISTA DE INDICADORES" sheetId="8" r:id="rId6"/>
    <sheet name="IARI" sheetId="1" r:id="rId7"/>
    <sheet name="IAZF" sheetId="2" r:id="rId8"/>
    <sheet name="PFCEO" sheetId="9" r:id="rId9"/>
    <sheet name="VAZAMENTOS GERAL" sheetId="3" r:id="rId10"/>
    <sheet name="VAZAMENTOS VC" sheetId="4" r:id="rId11"/>
    <sheet name="DISP.PURGADORES" sheetId="10" r:id="rId12"/>
    <sheet name="REALIZACAO SEMANAL" sheetId="6" r:id="rId13"/>
    <sheet name="TEMPO DE PLANEJAMENTO" sheetId="5" r:id="rId14"/>
    <sheet name="DISP.EQUIPAMENTOS" sheetId="11" r:id="rId15"/>
    <sheet name="CONTROLE DE ANDAIMES" sheetId="13" r:id="rId16"/>
    <sheet name="CONTROLE MANGUEIRAS" sheetId="12" r:id="rId17"/>
    <sheet name="CARTEIRA PLANEJAMENTO CAL COM" sheetId="14" r:id="rId18"/>
    <sheet name="Planilha7" sheetId="7" r:id="rId19"/>
  </sheets>
  <definedNames>
    <definedName name="DadosExternos_1" localSheetId="3" hidden="1">BD_IARI!$A$1:$K$223</definedName>
    <definedName name="DadosExternos_1" localSheetId="2" hidden="1">BD_MBIN!$A$1:$N$55</definedName>
    <definedName name="DadosExternos_1" localSheetId="4" hidden="1">BD_PCFEO!$A$1:$S$705</definedName>
    <definedName name="DadosExternos_2" localSheetId="1" hidden="1">BD_foco_vazamentos!$A$1:$L$97</definedName>
    <definedName name="DadosExternos_3" localSheetId="0" hidden="1">BD_Plano_IE!$A$1:$I$936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6" l="1"/>
  <c r="C2" i="3"/>
  <c r="C2" i="4"/>
  <c r="A2" i="4"/>
  <c r="B2" i="4" s="1"/>
  <c r="A2" i="3"/>
  <c r="B2" i="3" s="1"/>
  <c r="C2" i="9"/>
  <c r="A2" i="9"/>
  <c r="B2" i="9" s="1"/>
  <c r="A2" i="1"/>
  <c r="C2" i="1"/>
  <c r="D64" i="6" l="1"/>
  <c r="B33" i="3"/>
  <c r="D63" i="6"/>
  <c r="B32" i="3"/>
  <c r="D62" i="6"/>
  <c r="B31" i="3"/>
  <c r="D61" i="6"/>
  <c r="B30" i="3"/>
  <c r="D60" i="6"/>
  <c r="B29" i="3"/>
  <c r="D59" i="6"/>
  <c r="B28" i="3"/>
  <c r="F9" i="2"/>
  <c r="L14" i="13"/>
  <c r="K14" i="13"/>
  <c r="D58" i="6" l="1"/>
  <c r="B27" i="3"/>
  <c r="G6" i="1"/>
  <c r="K13" i="13"/>
  <c r="L13" i="13"/>
  <c r="D57" i="6" l="1"/>
  <c r="G5" i="1"/>
  <c r="B26" i="3"/>
  <c r="D56" i="6"/>
  <c r="G4" i="1"/>
  <c r="L12" i="13"/>
  <c r="K12" i="13"/>
  <c r="D55" i="6" l="1"/>
  <c r="B25" i="4"/>
  <c r="B25" i="3"/>
  <c r="F8" i="2"/>
  <c r="D51" i="6"/>
  <c r="D54" i="6"/>
  <c r="D53" i="6"/>
  <c r="B24" i="4"/>
  <c r="B24" i="3"/>
  <c r="F7" i="2"/>
  <c r="L11" i="13"/>
  <c r="K11" i="13"/>
  <c r="L10" i="13"/>
  <c r="K10" i="13"/>
  <c r="B23" i="4" l="1"/>
  <c r="B23" i="3"/>
  <c r="F6" i="2"/>
  <c r="L9" i="13"/>
  <c r="K9" i="13"/>
  <c r="D52" i="6" l="1"/>
  <c r="B22" i="4"/>
  <c r="B22" i="3"/>
  <c r="F5" i="2"/>
  <c r="L3" i="13"/>
  <c r="L4" i="13"/>
  <c r="L5" i="13"/>
  <c r="L6" i="13"/>
  <c r="L7" i="13"/>
  <c r="L8" i="13"/>
  <c r="L2" i="13"/>
  <c r="K3" i="13"/>
  <c r="K4" i="13"/>
  <c r="K5" i="13"/>
  <c r="K6" i="13"/>
  <c r="K7" i="13"/>
  <c r="K8" i="13"/>
  <c r="K2" i="13"/>
  <c r="D50" i="6" l="1"/>
  <c r="B21" i="4" l="1"/>
  <c r="B21" i="3"/>
  <c r="F4" i="2"/>
  <c r="D49" i="6" l="1"/>
  <c r="B20" i="3"/>
  <c r="B20" i="4"/>
  <c r="F3" i="2"/>
  <c r="F2" i="2"/>
  <c r="B19" i="4"/>
  <c r="B18" i="4"/>
  <c r="B17" i="4"/>
  <c r="B16" i="4"/>
  <c r="B15" i="4"/>
  <c r="B14" i="4"/>
  <c r="B13" i="4"/>
  <c r="B12" i="4"/>
  <c r="B11" i="4"/>
  <c r="B11" i="3"/>
  <c r="B12" i="3"/>
  <c r="B13" i="3"/>
  <c r="B14" i="3"/>
  <c r="B15" i="3"/>
  <c r="B16" i="3"/>
  <c r="B17" i="3"/>
  <c r="B18" i="3"/>
  <c r="B19" i="3"/>
  <c r="M3" i="14" l="1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" i="14"/>
  <c r="K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I2" i="14"/>
  <c r="E3" i="14"/>
  <c r="E4" i="14"/>
  <c r="E5" i="14"/>
  <c r="E6" i="14"/>
  <c r="E7" i="14"/>
  <c r="E8" i="14"/>
  <c r="I8" i="14" s="1"/>
  <c r="E9" i="14"/>
  <c r="I9" i="14" s="1"/>
  <c r="E10" i="14"/>
  <c r="E11" i="14"/>
  <c r="E12" i="14"/>
  <c r="E13" i="14"/>
  <c r="E14" i="14"/>
  <c r="E15" i="14"/>
  <c r="E16" i="14"/>
  <c r="I16" i="14" s="1"/>
  <c r="E17" i="14"/>
  <c r="I17" i="14" s="1"/>
  <c r="E18" i="14"/>
  <c r="E19" i="14"/>
  <c r="E2" i="14"/>
  <c r="I3" i="14"/>
  <c r="I4" i="14"/>
  <c r="I5" i="14"/>
  <c r="I6" i="14"/>
  <c r="I7" i="14"/>
  <c r="I10" i="14"/>
  <c r="I11" i="14"/>
  <c r="I12" i="14"/>
  <c r="I13" i="14"/>
  <c r="I14" i="14"/>
  <c r="I15" i="14"/>
  <c r="I18" i="14"/>
  <c r="I19" i="14"/>
  <c r="C4" i="14"/>
  <c r="F4" i="14" s="1"/>
  <c r="C5" i="14"/>
  <c r="F5" i="14" s="1"/>
  <c r="C6" i="14"/>
  <c r="F6" i="14" s="1"/>
  <c r="C7" i="14"/>
  <c r="F7" i="14" s="1"/>
  <c r="C8" i="14"/>
  <c r="F8" i="14" s="1"/>
  <c r="C9" i="14"/>
  <c r="F9" i="14" s="1"/>
  <c r="C10" i="14"/>
  <c r="F10" i="14" s="1"/>
  <c r="C11" i="14"/>
  <c r="F11" i="14" s="1"/>
  <c r="C12" i="14"/>
  <c r="F12" i="14" s="1"/>
  <c r="C13" i="14"/>
  <c r="F13" i="14" s="1"/>
  <c r="C14" i="14"/>
  <c r="F14" i="14" s="1"/>
  <c r="C15" i="14"/>
  <c r="F15" i="14" s="1"/>
  <c r="C16" i="14"/>
  <c r="F16" i="14" s="1"/>
  <c r="C17" i="14"/>
  <c r="F17" i="14" s="1"/>
  <c r="C18" i="14"/>
  <c r="F18" i="14" s="1"/>
  <c r="C19" i="14"/>
  <c r="F19" i="14" s="1"/>
  <c r="C3" i="14"/>
  <c r="F3" i="14" s="1"/>
  <c r="C2" i="14"/>
  <c r="B4" i="9"/>
  <c r="B3" i="9"/>
  <c r="B3" i="2"/>
  <c r="B2" i="2"/>
  <c r="F2" i="14" l="1"/>
  <c r="G2" i="14" s="1"/>
  <c r="G3" i="14" s="1"/>
  <c r="G4" i="14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D8F0C-A71A-41D5-B5EC-44075D8DEC24}" keepAlive="1" name="Consulta - foco_vazamentos" description="Conexão com a consulta 'foco_vazamentos' na pasta de trabalho." type="5" refreshedVersion="8" background="1" saveData="1">
    <dbPr connection="Provider=Microsoft.Mashup.OleDb.1;Data Source=$Workbook$;Location=foco_vazamentos;Extended Properties=&quot;&quot;" command="SELECT * FROM [foco_vazamentos]"/>
  </connection>
  <connection id="2" xr16:uid="{CD64C259-0141-4EEF-8905-52A3D931E472}" keepAlive="1" name="Consulta - IARI" description="Conexão com a consulta 'IARI' na pasta de trabalho." type="5" refreshedVersion="8" background="1" saveData="1">
    <dbPr connection="Provider=Microsoft.Mashup.OleDb.1;Data Source=$Workbook$;Location=IARI;Extended Properties=&quot;&quot;" command="SELECT * FROM [IARI]"/>
  </connection>
  <connection id="3" xr16:uid="{A1547CB2-A573-4815-B033-DD19E0D3E689}" keepAlive="1" name="Consulta - MBIN" description="Conexão com a consulta 'MBIN' na pasta de trabalho." type="5" refreshedVersion="8" background="1" saveData="1">
    <dbPr connection="Provider=Microsoft.Mashup.OleDb.1;Data Source=$Workbook$;Location=MBIN;Extended Properties=&quot;&quot;" command="SELECT * FROM [MBIN]"/>
  </connection>
  <connection id="4" xr16:uid="{0F18A4B0-49C8-4C9F-B7FC-1C2858A73751}" keepAlive="1" name="Consulta - Page 1" description="Conexão com a consulta 'Page 1' na pasta de trabalho." type="5" refreshedVersion="8" background="1" saveData="1">
    <dbPr connection="Provider=Microsoft.Mashup.OleDb.1;Data Source=$Workbook$;Location=&quot;Page 1&quot;;Extended Properties=&quot;&quot;" command="SELECT * FROM [Page 1]"/>
  </connection>
  <connection id="5" xr16:uid="{62CE8E1A-54A4-427C-80AF-4270442A84F1}" keepAlive="1" name="Consulta - pfceo" description="Conexão com a consulta 'pfceo' na pasta de trabalho." type="5" refreshedVersion="8" background="1" saveData="1">
    <dbPr connection="Provider=Microsoft.Mashup.OleDb.1;Data Source=$Workbook$;Location=pfceo;Extended Properties=&quot;&quot;" command="SELECT * FROM [pfceo]"/>
  </connection>
</connections>
</file>

<file path=xl/sharedStrings.xml><?xml version="1.0" encoding="utf-8"?>
<sst xmlns="http://schemas.openxmlformats.org/spreadsheetml/2006/main" count="19163" uniqueCount="3498">
  <si>
    <t>DATA</t>
  </si>
  <si>
    <t>IARI</t>
  </si>
  <si>
    <t>IAZF</t>
  </si>
  <si>
    <t>PFCEO</t>
  </si>
  <si>
    <t>VAZAMENTOS GERAL</t>
  </si>
  <si>
    <t>VAZAMENTO VC</t>
  </si>
  <si>
    <t>Planilha</t>
  </si>
  <si>
    <t>X</t>
  </si>
  <si>
    <t>DISP.PURGADORES</t>
  </si>
  <si>
    <t>INDICADOR</t>
  </si>
  <si>
    <t>REALIZACAO SEMANAL</t>
  </si>
  <si>
    <t>TEMPO DE PLANEJAMENTO</t>
  </si>
  <si>
    <t>DISP.EQUIPAMENTOS</t>
  </si>
  <si>
    <t>CONTROLE DE ANDAIMES</t>
  </si>
  <si>
    <t>CONTROLE DE MANGUEIRAS</t>
  </si>
  <si>
    <t>TOTAL DE MEDIDAS</t>
  </si>
  <si>
    <t>MEDIDAS A VENCER NO MÊS</t>
  </si>
  <si>
    <t>SEMANA</t>
  </si>
  <si>
    <t>2025.10</t>
  </si>
  <si>
    <t>2025.11</t>
  </si>
  <si>
    <t>2025.12</t>
  </si>
  <si>
    <t>2025.13</t>
  </si>
  <si>
    <t>2025.14</t>
  </si>
  <si>
    <t>2025.15</t>
  </si>
  <si>
    <t>2025.16</t>
  </si>
  <si>
    <t>2025.17</t>
  </si>
  <si>
    <t>2025.18</t>
  </si>
  <si>
    <t>2025.08</t>
  </si>
  <si>
    <t>2025.09</t>
  </si>
  <si>
    <t>MEDIDAS EXECUTADAS NO MÊS</t>
  </si>
  <si>
    <t>NOTAS PENDENTES NO MÊS</t>
  </si>
  <si>
    <t>% INDICADOR ATUAL</t>
  </si>
  <si>
    <t>% AMEÇAS INDICADOR MÊS</t>
  </si>
  <si>
    <t>META</t>
  </si>
  <si>
    <t>2025.01</t>
  </si>
  <si>
    <t>2025.02</t>
  </si>
  <si>
    <t>2025.03</t>
  </si>
  <si>
    <t>2025.04</t>
  </si>
  <si>
    <t>2025.05</t>
  </si>
  <si>
    <t>2025.06</t>
  </si>
  <si>
    <t>2025.07</t>
  </si>
  <si>
    <t>2025.19</t>
  </si>
  <si>
    <t>MPMI EE</t>
  </si>
  <si>
    <t>EQEC EE</t>
  </si>
  <si>
    <t>MÉDIA MPMI EE</t>
  </si>
  <si>
    <t>SALDO EE</t>
  </si>
  <si>
    <t>SALDO EE ACUMULADO</t>
  </si>
  <si>
    <t>Elaborada</t>
  </si>
  <si>
    <t>CARTEIRA PLANEJAMENTO CAL COM</t>
  </si>
  <si>
    <t>CESAR</t>
  </si>
  <si>
    <t>MARCELO</t>
  </si>
  <si>
    <t>GABRIEL</t>
  </si>
  <si>
    <t>PERF CESAR</t>
  </si>
  <si>
    <t>PERF MARCELO</t>
  </si>
  <si>
    <t>PERF GABRIEL</t>
  </si>
  <si>
    <t>MÉDIA EQEC EE DIARIA</t>
  </si>
  <si>
    <t>VAZAMENTOS TOTAIS</t>
  </si>
  <si>
    <t>VAZAMENTOS VP</t>
  </si>
  <si>
    <t>OPERAÇÕES NIVELADAS</t>
  </si>
  <si>
    <t>QUEBRA DA PROGRAMAÇÃO</t>
  </si>
  <si>
    <t>2024.23</t>
  </si>
  <si>
    <t>2024.24</t>
  </si>
  <si>
    <t>2024.25</t>
  </si>
  <si>
    <t>2024.26</t>
  </si>
  <si>
    <t>2024.27</t>
  </si>
  <si>
    <t>2024.28</t>
  </si>
  <si>
    <t>2024.29</t>
  </si>
  <si>
    <t>2024.30</t>
  </si>
  <si>
    <t>2024.31</t>
  </si>
  <si>
    <t>2024.32</t>
  </si>
  <si>
    <t>2024.33</t>
  </si>
  <si>
    <t>2024.34</t>
  </si>
  <si>
    <t>2024.35</t>
  </si>
  <si>
    <t>2024.36</t>
  </si>
  <si>
    <t>2024.37</t>
  </si>
  <si>
    <t>2024.38</t>
  </si>
  <si>
    <t>2024.39</t>
  </si>
  <si>
    <t>2024.40</t>
  </si>
  <si>
    <t>2024.41</t>
  </si>
  <si>
    <t>2024.42</t>
  </si>
  <si>
    <t>2024.43</t>
  </si>
  <si>
    <t>2024.44</t>
  </si>
  <si>
    <t>2024.45</t>
  </si>
  <si>
    <t>2024.46</t>
  </si>
  <si>
    <t>2024.47</t>
  </si>
  <si>
    <t>2024.48</t>
  </si>
  <si>
    <t>2024.49</t>
  </si>
  <si>
    <t>2024.50</t>
  </si>
  <si>
    <t>2024.51</t>
  </si>
  <si>
    <t>2024.52</t>
  </si>
  <si>
    <t>% IMEDIATAS</t>
  </si>
  <si>
    <t>REALIZAÇÃO  SEMANAL</t>
  </si>
  <si>
    <t>TOTAL PLANEJADAS ELE</t>
  </si>
  <si>
    <t>TOTAL PLANEJADAS INS</t>
  </si>
  <si>
    <t>TOTAL PLANEJADAS CAL</t>
  </si>
  <si>
    <t>TOTAL PLANEJADAS COM</t>
  </si>
  <si>
    <t>TOTAL PLANEJADAS MEC</t>
  </si>
  <si>
    <t>DISPONIBILIDADE</t>
  </si>
  <si>
    <t>PARCIAL</t>
  </si>
  <si>
    <t>CARTEIRA PLANEJAMENTO MEC</t>
  </si>
  <si>
    <t>CARTEIRA PLANEJAMENTO INS</t>
  </si>
  <si>
    <t>CARTEIRA PLANEJAMENTO ELE</t>
  </si>
  <si>
    <t>TOTAL INDICADOR</t>
  </si>
  <si>
    <t>EQUIPAMENTOS NO PAINEL</t>
  </si>
  <si>
    <t>DESCRIÇÃO DA META</t>
  </si>
  <si>
    <t>Mais é Melhor</t>
  </si>
  <si>
    <t>Menos é Melhor</t>
  </si>
  <si>
    <t>Meta 100%</t>
  </si>
  <si>
    <t>POWER BI</t>
  </si>
  <si>
    <t>2025.20</t>
  </si>
  <si>
    <t>IDP</t>
  </si>
  <si>
    <t>TUBOS CONVENCIONAIS (Linear)</t>
  </si>
  <si>
    <t>TUBOS MULTIDIRECIONAIS (Linear)</t>
  </si>
  <si>
    <t>PRANCHAS (peças)</t>
  </si>
  <si>
    <t>RODAPE  (peças)</t>
  </si>
  <si>
    <t>ACESSORIOS  (peças)</t>
  </si>
  <si>
    <t>Saldo GAVETEIRO Linear</t>
  </si>
  <si>
    <t>Saldo Gaveterio Peças</t>
  </si>
  <si>
    <t>Ultima atualização</t>
  </si>
  <si>
    <t>FECHAMENTO MENSAL</t>
  </si>
  <si>
    <t>IMPACTO PREVISTO</t>
  </si>
  <si>
    <t>Mínimo</t>
  </si>
  <si>
    <t>Iventario (linear)</t>
  </si>
  <si>
    <t>Em Campo (linear)</t>
  </si>
  <si>
    <t>2025.21</t>
  </si>
  <si>
    <t>2025.22</t>
  </si>
  <si>
    <t>2025.23</t>
  </si>
  <si>
    <t>2025.24</t>
  </si>
  <si>
    <t>2025.25</t>
  </si>
  <si>
    <t>2025.26</t>
  </si>
  <si>
    <t>2025.27</t>
  </si>
  <si>
    <t>2025.28</t>
  </si>
  <si>
    <t>2025.29</t>
  </si>
  <si>
    <t>2026.25</t>
  </si>
  <si>
    <t>2025.30</t>
  </si>
  <si>
    <t>2025.31</t>
  </si>
  <si>
    <t>2025.32</t>
  </si>
  <si>
    <t>2025.33</t>
  </si>
  <si>
    <t>2025.34</t>
  </si>
  <si>
    <t>Rank</t>
  </si>
  <si>
    <t>Prioridade</t>
  </si>
  <si>
    <t>Finalidade</t>
  </si>
  <si>
    <t>Status</t>
  </si>
  <si>
    <t>Gerências</t>
  </si>
  <si>
    <t>GPM</t>
  </si>
  <si>
    <t>NOTA</t>
  </si>
  <si>
    <t>ORDEM</t>
  </si>
  <si>
    <t>DESCRICAO</t>
  </si>
  <si>
    <t>Critério</t>
  </si>
  <si>
    <t>OM - Status Sistema</t>
  </si>
  <si>
    <t>OM - Status Usuário</t>
  </si>
  <si>
    <t>Prazo demanda</t>
  </si>
  <si>
    <t>Fim avaria</t>
  </si>
  <si>
    <t>00000000</t>
  </si>
  <si>
    <t>TM GPI - Avaliar material</t>
  </si>
  <si>
    <t>UTILIDADES</t>
  </si>
  <si>
    <t>CAL</t>
  </si>
  <si>
    <t>K-301E-Subst.Guard.Corp.Bac.Sucç.</t>
  </si>
  <si>
    <t>ZR-A/ZR-B/ZR-C/ZR-D + 630 dias</t>
  </si>
  <si>
    <t>LIB  IMPR CAPC MatC NOLQ</t>
  </si>
  <si>
    <t>FMAT IMPD TRIA EQEC PMAU ANEX MBIN MPOP MPMI 1ESC</t>
  </si>
  <si>
    <t/>
  </si>
  <si>
    <t>IEQ</t>
  </si>
  <si>
    <t>M-6521004-A/B-Inspeção Geral</t>
  </si>
  <si>
    <t>ICPM_SO/API_SO/ICPM_PFCEO Crítico</t>
  </si>
  <si>
    <t>LIB  CAPC DMNV IMPA MATF NOLQ</t>
  </si>
  <si>
    <t>EQEC FMAT PMAU TRIA IMPD ANEX MBIN MPMI MPOP 1ESC APRE</t>
  </si>
  <si>
    <t>M-6521004C/D - Inspeção geral</t>
  </si>
  <si>
    <t>LIB  IMPR CAPC DMNV MATF MOME NOLQ</t>
  </si>
  <si>
    <t>Segurança Ocupacional</t>
  </si>
  <si>
    <t>TRANSFERÊNCIA</t>
  </si>
  <si>
    <t>D-800(P-837B)-Adequar Isolamento Térmico</t>
  </si>
  <si>
    <t>Alta prioridade definida pela área demandante</t>
  </si>
  <si>
    <t>LIB  CNPA IMPR CAPC ERRD KKMP NOLQ</t>
  </si>
  <si>
    <t>FMAT IMPD TRIA EQEC PMAU ANEX MBIN MPOP MPMI 1ESC PRIA</t>
  </si>
  <si>
    <t>COM</t>
  </si>
  <si>
    <t>D-800GL-Remov.Isolat.Térm./Pintar(ZR)</t>
  </si>
  <si>
    <t>LIB  CNPA IMPR CAPC DMNV KKMP NOLQ</t>
  </si>
  <si>
    <t>FMAT SIMP PMAU ANEX MBIN MPOP MPMI 1ESC PRIA</t>
  </si>
  <si>
    <t>Demanda Não-crítica</t>
  </si>
  <si>
    <t>HDT</t>
  </si>
  <si>
    <t>S2-2313-501(N-2313051)-Inst.Mang.Amostr.</t>
  </si>
  <si>
    <t>LIB  IMPR CAPC DMNV KKMP NOLQ</t>
  </si>
  <si>
    <t>FMAT IMPD TRIA EQEC ANEX MBIN MPOP MPMI 1ESC APRE PRIA</t>
  </si>
  <si>
    <t>Apoio de Rotina a Operação</t>
  </si>
  <si>
    <t>INS</t>
  </si>
  <si>
    <t>U-804 instalar sensor de fumaça IR</t>
  </si>
  <si>
    <t>LIB  CNPA IMPR CAPC DMNV MOME NOLQ</t>
  </si>
  <si>
    <t>FMAT IMPD TRIA EQEC PMAU ANEX MBIN ABCO MPOP MPMI 1ESC</t>
  </si>
  <si>
    <t>O-5121001A- Inspeção Interna</t>
  </si>
  <si>
    <t>ICPM/API</t>
  </si>
  <si>
    <t>LIB  CAPC IMPA MOME MatC NOLQ</t>
  </si>
  <si>
    <t>EQEC FMAT PMAU TRIA IMPD ANEX MBIN MPMI 1ESC APRE</t>
  </si>
  <si>
    <t>Inspeção Gerencial</t>
  </si>
  <si>
    <t>U-800(O-844;Blow-Down)-Inst.Grad.Canal./</t>
  </si>
  <si>
    <t>RESP/CAP/Inspeção Gerencial</t>
  </si>
  <si>
    <t>FMAT IMPD TRIA EQEC ANEX MBIN MPOP MPMI 1ESC</t>
  </si>
  <si>
    <t>RESP</t>
  </si>
  <si>
    <t>SE-820-Instalar Corrimão</t>
  </si>
  <si>
    <t>LIB  IMPR CAPC DMNV MATF NOLQ</t>
  </si>
  <si>
    <t>SIMP TRIA EQEC PMAU ANEX MBIN MPOP MPMI 1ESC</t>
  </si>
  <si>
    <t>U-300(LEITO.MISTO)-Inst.Guard.Corp.</t>
  </si>
  <si>
    <t>Segurança ocupacional/Plataformas e Corrimões/Impacto à Comunidade</t>
  </si>
  <si>
    <t>LIB  CAPC IMPA MatC NOLQ</t>
  </si>
  <si>
    <t>REFINO</t>
  </si>
  <si>
    <t>D-702A(N-701)-Apoio.Test./Desobstr.Reflu</t>
  </si>
  <si>
    <t>Apoio de Rotina à Operação/Continuidade Operacional</t>
  </si>
  <si>
    <t>LIB  CNPA IMPR CAPC DMNV ERRD JBFI MATF*</t>
  </si>
  <si>
    <t>SIMP TRIA EQEC PMAU ANEX MBIN MPOP MPMI 1ESC APRE</t>
  </si>
  <si>
    <t>Continuidade Operacional</t>
  </si>
  <si>
    <t>SE-650-Inst.Guard.Corp.</t>
  </si>
  <si>
    <t>Impedido</t>
  </si>
  <si>
    <t>O-5121004B(OSMOSE2)-Insp.Subst.Membr.</t>
  </si>
  <si>
    <t>LIB  CAPC DMNV IMPA KKMP NOLQ</t>
  </si>
  <si>
    <t>IMPD TRIA ANEX EQEC MBIN MPMI MPOP 1ESC</t>
  </si>
  <si>
    <t>O-5121004E(OSMOSE2)-Insp.Subst.Membr.</t>
  </si>
  <si>
    <t>O-5121004C(OSMOSE2)-Insp.Subst.Membr.</t>
  </si>
  <si>
    <t>LIB  IMPR CAPC DMNV NOLQ</t>
  </si>
  <si>
    <t>IMPD TRIA EQEC PMAU ANEX MBIN MPOP MPMI 1ESC</t>
  </si>
  <si>
    <t>O-5121005B(OSMOSE2)-Insp.Subst.Membr.</t>
  </si>
  <si>
    <t>IMPD TRIA ANEX EQEC MBIN MPMI MPOP</t>
  </si>
  <si>
    <t>O-5121005C(OSMOSE2)-Insp.Subst.Membr.</t>
  </si>
  <si>
    <t>O-5121005E(OSMOSE2)-Insp.Subst.Membr.</t>
  </si>
  <si>
    <t>O-5121005A(OSMOSE2)-Insp.Subst.Membr.</t>
  </si>
  <si>
    <t>O-5121005D(OSMOSE2)-Insp.Subst.Membr.</t>
  </si>
  <si>
    <t>O-5121004A(OSMOSE2)-Insp.Subst.Membranas</t>
  </si>
  <si>
    <t>LIB  IMPR CAPC KKMP NOLQ</t>
  </si>
  <si>
    <t>L-572 J-579C -Valv. reguladora quebrada</t>
  </si>
  <si>
    <t>J-2316012(Tub)-Instalar filtro</t>
  </si>
  <si>
    <t>T-323B(O-357)-Fixar Helice do Agitador</t>
  </si>
  <si>
    <t>FMAT IMPD TRIA EQEC PMAU ANEX MBIN MPMI 1ESC</t>
  </si>
  <si>
    <t>Ordem, Limpeza e Arrumação</t>
  </si>
  <si>
    <t>Microplanejamento</t>
  </si>
  <si>
    <t>O-630-Remover tubulação desativada</t>
  </si>
  <si>
    <t>SIMP ANEX MBIN MPMI MPOP PMAU 1ESC APRE</t>
  </si>
  <si>
    <t>O-6521003-Subst.Filtr.(ZR)</t>
  </si>
  <si>
    <t>LIB  CNPA CAPC DMNV IMPA NOLQ</t>
  </si>
  <si>
    <t>Outro Crítico</t>
  </si>
  <si>
    <t>FV-77018(HAZOP) - Instalar RO</t>
  </si>
  <si>
    <t>ABER CAPC ERRD KKMP</t>
  </si>
  <si>
    <t>Programável</t>
  </si>
  <si>
    <t>SOP</t>
  </si>
  <si>
    <t>Reforma Prédio 03 - ADM</t>
  </si>
  <si>
    <t>LIB  CAPC DMNV KKMP NOLQ</t>
  </si>
  <si>
    <t>SIMP TRIA MBIN MPMI</t>
  </si>
  <si>
    <t>M-647-Retubagem do feixe</t>
  </si>
  <si>
    <t>ZR-D Abertas até 630 dias</t>
  </si>
  <si>
    <t>LIB  CAPC DMNV MATF NOLQ</t>
  </si>
  <si>
    <t>IMPD ANEX MBIN MPMI PMAU</t>
  </si>
  <si>
    <t>O-004C - XV-5121049/ FV-5121014 Manutenç</t>
  </si>
  <si>
    <t>LIB  CNPA IMPR CAPC DMNV NOLQ</t>
  </si>
  <si>
    <t>FI-2225063 K-2225001 Revisar o instrumen</t>
  </si>
  <si>
    <t>FMAT IMPD TRIA EQEC ANEX MBIN ABCO MPOP MPMI 1ESC APRE</t>
  </si>
  <si>
    <t>LSL-2313410A Atuação espúria chave nível</t>
  </si>
  <si>
    <t>LIB  CNPA CAPC DMNV IMPA JBFI MATF MOME*</t>
  </si>
  <si>
    <t>O-004C - XV-5121051/ XV-5121052 Manutenç</t>
  </si>
  <si>
    <t>LIB  CAPC DMNV IMPA NOLQ</t>
  </si>
  <si>
    <t>O-004C - XV-5121130 Manutenção Geral</t>
  </si>
  <si>
    <t>O-004E XV-5121059 /XV-5121060 -Manutençã</t>
  </si>
  <si>
    <t>O-005D XV-5121078 /XV-5121079 -Manutençã</t>
  </si>
  <si>
    <t>V-413A PDI-M40320A Alarme no IHM</t>
  </si>
  <si>
    <t>SIMP TRIA ANEX EQEC MBIN MPMI MPOP 1ESC</t>
  </si>
  <si>
    <t>TI-30228B (J-301J) Substituir Termômetro</t>
  </si>
  <si>
    <t>V-416A TI-40925 VISOR DE TEMPERATURA</t>
  </si>
  <si>
    <t>IMPD TRIA ANEX EQEC FMAT MBIN MPMI MPOP</t>
  </si>
  <si>
    <t>PCV-2311509B Reg. Ar Instr. PSA fora pad</t>
  </si>
  <si>
    <t>Amost-SC-2225570(M-2225505)-Desobs.Amost</t>
  </si>
  <si>
    <t>Falha_Equipamentos comuns</t>
  </si>
  <si>
    <t>LIB  CNPA CAPC ERRD IMPA MATF NOLQ</t>
  </si>
  <si>
    <t>IMPD TRIA ANEX FMAT MBIN MPMI MPOP APRE</t>
  </si>
  <si>
    <t>FV-2311002 sem posicionador</t>
  </si>
  <si>
    <t>FMAT IMPD TRIA EQEC ANEX MBIN ABCO MPOP MPMI 1ESC</t>
  </si>
  <si>
    <t>FI-2225035 sem medidor de vazão</t>
  </si>
  <si>
    <t>PI-2313761B J-151B SUBSTITUIR VIDRO MANO</t>
  </si>
  <si>
    <t>Defeito_Equipamentos comuns</t>
  </si>
  <si>
    <t>LG-2313006 vidro quebrado</t>
  </si>
  <si>
    <t>LG-2313712 Vidro quebrado</t>
  </si>
  <si>
    <t>O-2225505 - Subst. elemento filtrante</t>
  </si>
  <si>
    <t>LIB  CAPC IMPA MATF MOME NOLQ</t>
  </si>
  <si>
    <t>IMPD TRIA EQEC PMAU ANEX MBIN MPOP MPMI 1ESC APRE</t>
  </si>
  <si>
    <t>FI-2225033 instalar rotâmetro</t>
  </si>
  <si>
    <t>PDT-50446-Subst.válvula bloq tomada inf.</t>
  </si>
  <si>
    <t>SIMP TRIA EQEC ANEX MBIN MPOP MPMI 1ESC APRE</t>
  </si>
  <si>
    <t>O-004A - XV-5121043/ XV-5121044 Manutenç</t>
  </si>
  <si>
    <t>AUT</t>
  </si>
  <si>
    <t>CCL-11 MCS-100 PLC Trocar bateria</t>
  </si>
  <si>
    <t>LG-57056-Subst.válvula bloq.fecho rápido</t>
  </si>
  <si>
    <t>LIB  IMPR CAPC MATF NOLQ</t>
  </si>
  <si>
    <t>FMAT IMPD TRIA EQEC ANEX MBIN MPOP MPMI 1ESC APRE</t>
  </si>
  <si>
    <t>Produção / Confiabilidade</t>
  </si>
  <si>
    <t>LV-2313041-Susbtituir válv.globo</t>
  </si>
  <si>
    <t>Gerência</t>
  </si>
  <si>
    <t>Nota</t>
  </si>
  <si>
    <t>Texto</t>
  </si>
  <si>
    <t>Ordem</t>
  </si>
  <si>
    <t>Data criação</t>
  </si>
  <si>
    <t>Fluido</t>
  </si>
  <si>
    <t>Liberação</t>
  </si>
  <si>
    <t>Plaqueta</t>
  </si>
  <si>
    <t>4</t>
  </si>
  <si>
    <t>15643229</t>
  </si>
  <si>
    <t>D-504-F (VAZ) PQT-113 Prox. J-510</t>
  </si>
  <si>
    <t>002029812835</t>
  </si>
  <si>
    <t>2025-06-26 00:00:00</t>
  </si>
  <si>
    <t>2024-10-06 00:00:00</t>
  </si>
  <si>
    <t>VAPOR</t>
  </si>
  <si>
    <t>PP</t>
  </si>
  <si>
    <t>0000000113</t>
  </si>
  <si>
    <t>8</t>
  </si>
  <si>
    <t>HDT_</t>
  </si>
  <si>
    <t>15979562</t>
  </si>
  <si>
    <t>UNIDADE UGN - Vazamento condensado bx</t>
  </si>
  <si>
    <t>002030370690</t>
  </si>
  <si>
    <t>2025-06-03 00:00:00</t>
  </si>
  <si>
    <t>2025-03-29 00:00:00</t>
  </si>
  <si>
    <t>CONDENSADO</t>
  </si>
  <si>
    <t>NL</t>
  </si>
  <si>
    <t>0000011111</t>
  </si>
  <si>
    <t>12</t>
  </si>
  <si>
    <t>16239573</t>
  </si>
  <si>
    <t>D-1003-C (SKID N2) - PQT 1170 - VAZ N2</t>
  </si>
  <si>
    <t>002030935830</t>
  </si>
  <si>
    <t>2025-08-10 00:00:00</t>
  </si>
  <si>
    <t>NITROGÊNIO</t>
  </si>
  <si>
    <t>0000001170</t>
  </si>
  <si>
    <t>14</t>
  </si>
  <si>
    <t>16069798</t>
  </si>
  <si>
    <t>D-571-B PQT 1024 VAZ CATALISADOR</t>
  </si>
  <si>
    <t>002030549674</t>
  </si>
  <si>
    <t>2025-07-17 00:00:00</t>
  </si>
  <si>
    <t>2025-05-15 00:00:00</t>
  </si>
  <si>
    <t>L</t>
  </si>
  <si>
    <t>0000001024</t>
  </si>
  <si>
    <t>20</t>
  </si>
  <si>
    <t>16250037</t>
  </si>
  <si>
    <t>CJ B M-710 PQT 1103 VAZ C30</t>
  </si>
  <si>
    <t>002030922372</t>
  </si>
  <si>
    <t>2025-08-15 00:00:00</t>
  </si>
  <si>
    <t>0000001103</t>
  </si>
  <si>
    <t>32</t>
  </si>
  <si>
    <t>16121952</t>
  </si>
  <si>
    <t>D-573-D PQT 1028 VAZ VAPOR V5 FV-57009</t>
  </si>
  <si>
    <t>002030652480</t>
  </si>
  <si>
    <t>2025-08-05 00:00:00</t>
  </si>
  <si>
    <t>2025-06-10 00:00:00</t>
  </si>
  <si>
    <t>0000001028</t>
  </si>
  <si>
    <t>61</t>
  </si>
  <si>
    <t>16234473</t>
  </si>
  <si>
    <t>O-519 Vaz. linha de C-30</t>
  </si>
  <si>
    <t>002030922948</t>
  </si>
  <si>
    <t>2025-08-07 00:00:00</t>
  </si>
  <si>
    <t>0000000335</t>
  </si>
  <si>
    <t>66</t>
  </si>
  <si>
    <t>16239565</t>
  </si>
  <si>
    <t>TUBULAÇÕES VAZAMENTO LINHA DESCARGA J-32</t>
  </si>
  <si>
    <t>002030939890</t>
  </si>
  <si>
    <t>ÁGUA</t>
  </si>
  <si>
    <t>0000000094</t>
  </si>
  <si>
    <t>74</t>
  </si>
  <si>
    <t>15473639</t>
  </si>
  <si>
    <t>TROCA TÉRMICA M-583 Vazamento no vent</t>
  </si>
  <si>
    <t>002030704522</t>
  </si>
  <si>
    <t>2024-07-14 00:00:00</t>
  </si>
  <si>
    <t>0000000014</t>
  </si>
  <si>
    <t>177</t>
  </si>
  <si>
    <t>15082841</t>
  </si>
  <si>
    <t>CJ D O-353D O-353D - VAZAMENTOS</t>
  </si>
  <si>
    <t>002028639609</t>
  </si>
  <si>
    <t>2023-12-19 00:00:00</t>
  </si>
  <si>
    <t>0000000120</t>
  </si>
  <si>
    <t>189</t>
  </si>
  <si>
    <t>Parada</t>
  </si>
  <si>
    <t>PAR</t>
  </si>
  <si>
    <t>14829265</t>
  </si>
  <si>
    <t>CJ A J-0570113A  VAZ pqt184 val. descarg</t>
  </si>
  <si>
    <t>2023-07-30 00:00:00</t>
  </si>
  <si>
    <t>0000000184</t>
  </si>
  <si>
    <t>243</t>
  </si>
  <si>
    <t>Falta material</t>
  </si>
  <si>
    <t>16239486</t>
  </si>
  <si>
    <t>D-573-E PQT 1171 VAZ VAPOR V30</t>
  </si>
  <si>
    <t>002030922377</t>
  </si>
  <si>
    <t>0000001171</t>
  </si>
  <si>
    <t>252</t>
  </si>
  <si>
    <t>16160762</t>
  </si>
  <si>
    <t>TV-2313212B VAZ HC Gaxeta</t>
  </si>
  <si>
    <t>002030855874</t>
  </si>
  <si>
    <t>2025-07-01 00:00:00</t>
  </si>
  <si>
    <t>HIDROCARBONETO</t>
  </si>
  <si>
    <t>0000000209</t>
  </si>
  <si>
    <t>263</t>
  </si>
  <si>
    <t>13001993</t>
  </si>
  <si>
    <t>0000000147 NL D-23133E PQT 147 VAZ H2</t>
  </si>
  <si>
    <t>002024776319</t>
  </si>
  <si>
    <t>2023-09-11 00:00:00</t>
  </si>
  <si>
    <t>2021-03-07 00:00:00</t>
  </si>
  <si>
    <t>HIDROGÊNIO</t>
  </si>
  <si>
    <t>0000000147</t>
  </si>
  <si>
    <t>264</t>
  </si>
  <si>
    <t>15512646</t>
  </si>
  <si>
    <t>FT-64036 (RESP) VAZ conexão roscada</t>
  </si>
  <si>
    <t>002029452983</t>
  </si>
  <si>
    <t>2024-08-03 00:00:00</t>
  </si>
  <si>
    <t>0000000502</t>
  </si>
  <si>
    <t>266</t>
  </si>
  <si>
    <t>15648461</t>
  </si>
  <si>
    <t>D-2311-3B S3-2311001 trocar manômetro</t>
  </si>
  <si>
    <t>002029696689</t>
  </si>
  <si>
    <t>2024-10-09 00:00:00</t>
  </si>
  <si>
    <t>0000000100</t>
  </si>
  <si>
    <t>267</t>
  </si>
  <si>
    <t>15879485</t>
  </si>
  <si>
    <t>AM-1200001 VAZ HC GLP</t>
  </si>
  <si>
    <t>002030210318</t>
  </si>
  <si>
    <t>2025-04-02 00:00:00</t>
  </si>
  <si>
    <t>2025-02-06 00:00:00</t>
  </si>
  <si>
    <t>0000000289</t>
  </si>
  <si>
    <t>268</t>
  </si>
  <si>
    <t>16000151</t>
  </si>
  <si>
    <t>D-502-G vazamento pela solda e castelo</t>
  </si>
  <si>
    <t>002030404545</t>
  </si>
  <si>
    <t>2025-04-09 00:00:00</t>
  </si>
  <si>
    <t>0000001004</t>
  </si>
  <si>
    <t>269</t>
  </si>
  <si>
    <t>15809909</t>
  </si>
  <si>
    <t>D-2316-3A VAZ nafta gax K-2316001 PQT 91</t>
  </si>
  <si>
    <t>002030092756</t>
  </si>
  <si>
    <t>2025-08-18 00:00:00</t>
  </si>
  <si>
    <t>2025-01-02 00:00:00</t>
  </si>
  <si>
    <t>0000000091</t>
  </si>
  <si>
    <t>270</t>
  </si>
  <si>
    <t>16048588</t>
  </si>
  <si>
    <t>M-2316200 CJ A J-2316001A Vazamento sist</t>
  </si>
  <si>
    <t>002030549405</t>
  </si>
  <si>
    <t>2025-05-05 00:00:00</t>
  </si>
  <si>
    <t>0000001045</t>
  </si>
  <si>
    <t>271</t>
  </si>
  <si>
    <t>16134963</t>
  </si>
  <si>
    <t>D-1202-C (FN-1202) PQT 135 VAZ HC</t>
  </si>
  <si>
    <t>002030683752</t>
  </si>
  <si>
    <t>2025-07-08 00:00:00</t>
  </si>
  <si>
    <t>2025-06-17 00:00:00</t>
  </si>
  <si>
    <t>0000000135</t>
  </si>
  <si>
    <t>272</t>
  </si>
  <si>
    <t>15980127</t>
  </si>
  <si>
    <t>ARM ÁGUA P/ DIL DIÓXIDO CLORO Vazto água</t>
  </si>
  <si>
    <t>002030378184</t>
  </si>
  <si>
    <t>2025-03-30 00:00:00</t>
  </si>
  <si>
    <t>0000000225</t>
  </si>
  <si>
    <t>273</t>
  </si>
  <si>
    <t>MEC</t>
  </si>
  <si>
    <t>16206683</t>
  </si>
  <si>
    <t>V-518-C Vazamto oleo no redutor PQT 1019</t>
  </si>
  <si>
    <t>002030836702</t>
  </si>
  <si>
    <t>2025-07-25 00:00:00</t>
  </si>
  <si>
    <t>0000001019</t>
  </si>
  <si>
    <t>274</t>
  </si>
  <si>
    <t>15627372</t>
  </si>
  <si>
    <t>D-23133G Vaz HC gaxetas sistema de alta</t>
  </si>
  <si>
    <t>002029667230</t>
  </si>
  <si>
    <t>2024-09-28 00:00:00</t>
  </si>
  <si>
    <t>0000000593</t>
  </si>
  <si>
    <t>275</t>
  </si>
  <si>
    <t>14386091</t>
  </si>
  <si>
    <t>HV-2313061 Vaz HC 85 KGF/CM2</t>
  </si>
  <si>
    <t>002027415262</t>
  </si>
  <si>
    <t>2022-12-12 00:00:00</t>
  </si>
  <si>
    <t>0000000107</t>
  </si>
  <si>
    <t>281</t>
  </si>
  <si>
    <t>TO GPI - Encerrar nota</t>
  </si>
  <si>
    <t>15685036</t>
  </si>
  <si>
    <t>D-22253P PV-2225140 vaz h2 dreno montant</t>
  </si>
  <si>
    <t>002029893140</t>
  </si>
  <si>
    <t>2024-12-12 00:00:00</t>
  </si>
  <si>
    <t>2024-10-26 00:00:00</t>
  </si>
  <si>
    <t>0000000541</t>
  </si>
  <si>
    <t>283</t>
  </si>
  <si>
    <t>16207424</t>
  </si>
  <si>
    <t>AM-0800015 PQT 62 VAZ HC GASOLINA</t>
  </si>
  <si>
    <t>002030939903</t>
  </si>
  <si>
    <t>0000000062</t>
  </si>
  <si>
    <t>284</t>
  </si>
  <si>
    <t>16263915</t>
  </si>
  <si>
    <t>M-505B PQT 1173 VAZ ODEC boleado / carre</t>
  </si>
  <si>
    <t>002030950674</t>
  </si>
  <si>
    <t>2025-08-28 00:00:00</t>
  </si>
  <si>
    <t>2025-08-22 00:00:00</t>
  </si>
  <si>
    <t>0000001173</t>
  </si>
  <si>
    <t>285</t>
  </si>
  <si>
    <t>16235340</t>
  </si>
  <si>
    <t>AM-0800022 PQT 24 VAZ HC DIESEL</t>
  </si>
  <si>
    <t>002030939898</t>
  </si>
  <si>
    <t>0000000024</t>
  </si>
  <si>
    <t>286</t>
  </si>
  <si>
    <t>16137223</t>
  </si>
  <si>
    <t>COMPRESSÃO V-2313001A Conexão união vaza</t>
  </si>
  <si>
    <t>002030769576</t>
  </si>
  <si>
    <t>2025-06-18 00:00:00</t>
  </si>
  <si>
    <t>0000001212</t>
  </si>
  <si>
    <t>287</t>
  </si>
  <si>
    <t>Concluído</t>
  </si>
  <si>
    <t>16269630</t>
  </si>
  <si>
    <t>XV-57803 (CC-571) PQT 1102 VAZ CATALISAD</t>
  </si>
  <si>
    <t>002030969936</t>
  </si>
  <si>
    <t>2025-08-26 00:00:00</t>
  </si>
  <si>
    <t>OUTROS</t>
  </si>
  <si>
    <t>0000001102</t>
  </si>
  <si>
    <t>288</t>
  </si>
  <si>
    <t>15596812</t>
  </si>
  <si>
    <t>D-23132B S9-2313001 Vaz conexão</t>
  </si>
  <si>
    <t>002029640299</t>
  </si>
  <si>
    <t>2024-09-13 00:00:00</t>
  </si>
  <si>
    <t>0000000061</t>
  </si>
  <si>
    <t>289</t>
  </si>
  <si>
    <t>TM GPI - Aguarda Ordem</t>
  </si>
  <si>
    <t>16275496</t>
  </si>
  <si>
    <t>M-703 PQT 1182 VAZ HC</t>
  </si>
  <si>
    <t>0000001182</t>
  </si>
  <si>
    <t>290</t>
  </si>
  <si>
    <t>TO GPI - Aguarda MSPR</t>
  </si>
  <si>
    <t>16277377</t>
  </si>
  <si>
    <t>TV-60341 tv-60341 vazamento pelo flange</t>
  </si>
  <si>
    <t>2025-08-29 00:00:00</t>
  </si>
  <si>
    <t>0000000000</t>
  </si>
  <si>
    <t>291</t>
  </si>
  <si>
    <t>16210003</t>
  </si>
  <si>
    <t>O-617 PQT 1196 VAZ SODA 50% VÁLVULA</t>
  </si>
  <si>
    <t>002030850334</t>
  </si>
  <si>
    <t>2025-07-28 00:00:00</t>
  </si>
  <si>
    <t>SODA</t>
  </si>
  <si>
    <t>0000001196</t>
  </si>
  <si>
    <t>292</t>
  </si>
  <si>
    <t>16235391</t>
  </si>
  <si>
    <t>ARMAZENAMENTO P-801C PQT 42 VAZ HC DIESE</t>
  </si>
  <si>
    <t>002030939896</t>
  </si>
  <si>
    <t>0000000042</t>
  </si>
  <si>
    <t>293</t>
  </si>
  <si>
    <t>16258097</t>
  </si>
  <si>
    <t>D-1204 (J-1209) PQT 1030 VAZ SODA 10%</t>
  </si>
  <si>
    <t>002030954002</t>
  </si>
  <si>
    <t>2025-08-19 00:00:00</t>
  </si>
  <si>
    <t>0000001030</t>
  </si>
  <si>
    <t>294</t>
  </si>
  <si>
    <t>TO GPI - Aguarda TRIA</t>
  </si>
  <si>
    <t>16266661</t>
  </si>
  <si>
    <t>U-800- TUBULAÇÕES PQT 1414 VAZ HC RAT</t>
  </si>
  <si>
    <t>002030968390</t>
  </si>
  <si>
    <t>2025-08-24 00:00:00</t>
  </si>
  <si>
    <t>0000001414</t>
  </si>
  <si>
    <t>296</t>
  </si>
  <si>
    <t>16129932</t>
  </si>
  <si>
    <t>FV-2313038 Vazamento Ar de instrumento</t>
  </si>
  <si>
    <t>002030712003</t>
  </si>
  <si>
    <t>2025-06-13 00:00:00</t>
  </si>
  <si>
    <t>0000001060</t>
  </si>
  <si>
    <t>297</t>
  </si>
  <si>
    <t>16263291</t>
  </si>
  <si>
    <t>D-23133H Vaz H2 gax montan PSV-2313453A</t>
  </si>
  <si>
    <t>002030952250</t>
  </si>
  <si>
    <t>0000001067</t>
  </si>
  <si>
    <t>298</t>
  </si>
  <si>
    <t>LAB</t>
  </si>
  <si>
    <t>16008237</t>
  </si>
  <si>
    <t>AT-85069 VAZAMENTO PELA TOMADA DO INSTRU</t>
  </si>
  <si>
    <t>2025-04-13 00:00:00</t>
  </si>
  <si>
    <t>0000000156</t>
  </si>
  <si>
    <t>299</t>
  </si>
  <si>
    <t>16220191</t>
  </si>
  <si>
    <t>FI-2225072 VAZ Vidro quebrado</t>
  </si>
  <si>
    <t>002030866156</t>
  </si>
  <si>
    <t>2025-08-01 00:00:00</t>
  </si>
  <si>
    <t>0000001085</t>
  </si>
  <si>
    <t>300</t>
  </si>
  <si>
    <t>15485914</t>
  </si>
  <si>
    <t>M-2313006A Vaz HC plug dos tupos entrada</t>
  </si>
  <si>
    <t>002029484208</t>
  </si>
  <si>
    <t>2024-07-20 00:00:00</t>
  </si>
  <si>
    <t>0000000001</t>
  </si>
  <si>
    <t>301</t>
  </si>
  <si>
    <t>16276625</t>
  </si>
  <si>
    <t>CJ A J-2225506A Vaz AA solda dreno volut</t>
  </si>
  <si>
    <t>0000001071</t>
  </si>
  <si>
    <t>302</t>
  </si>
  <si>
    <t>15965484</t>
  </si>
  <si>
    <t>PCV-2225644 PQT 174 VAZ água Cald PCV644</t>
  </si>
  <si>
    <t>002030365261</t>
  </si>
  <si>
    <t>2025-05-28 00:00:00</t>
  </si>
  <si>
    <t>2025-03-22 00:00:00</t>
  </si>
  <si>
    <t>0000001208</t>
  </si>
  <si>
    <t>303</t>
  </si>
  <si>
    <t>15266511</t>
  </si>
  <si>
    <t>XV-2311531 VAZ H2 20 kgf</t>
  </si>
  <si>
    <t>002029027059</t>
  </si>
  <si>
    <t>2024-03-30 00:00:00</t>
  </si>
  <si>
    <t>0000000075</t>
  </si>
  <si>
    <t>304</t>
  </si>
  <si>
    <t>14789484</t>
  </si>
  <si>
    <t>PV-2311535 Vaz ar 5 kgf/cm²</t>
  </si>
  <si>
    <t>002027088191</t>
  </si>
  <si>
    <t>2023-07-08 00:00:00</t>
  </si>
  <si>
    <t>306</t>
  </si>
  <si>
    <t>15527571</t>
  </si>
  <si>
    <t>J-2316011T Pequeno vazamento na junta da</t>
  </si>
  <si>
    <t>002029490837</t>
  </si>
  <si>
    <t>2024-08-11 00:00:00</t>
  </si>
  <si>
    <t>0000000029</t>
  </si>
  <si>
    <t>307</t>
  </si>
  <si>
    <t>13923678</t>
  </si>
  <si>
    <t>D-2313-6U VAZ Troca válv desv FV-2313616</t>
  </si>
  <si>
    <t>2022-05-11 00:00:00</t>
  </si>
  <si>
    <t>0000000044</t>
  </si>
  <si>
    <t>308</t>
  </si>
  <si>
    <t>15680119</t>
  </si>
  <si>
    <t>PV-2311505B Vazamento pela gaxeta</t>
  </si>
  <si>
    <t>002029761985</t>
  </si>
  <si>
    <t>2024-10-24 00:00:00</t>
  </si>
  <si>
    <t>0000000131</t>
  </si>
  <si>
    <t>309</t>
  </si>
  <si>
    <t>15795508</t>
  </si>
  <si>
    <t>XV-2311511 Vaz H2 PQT 549</t>
  </si>
  <si>
    <t>002030059671</t>
  </si>
  <si>
    <t>2024-12-25 00:00:00</t>
  </si>
  <si>
    <t>0000000549</t>
  </si>
  <si>
    <t>310</t>
  </si>
  <si>
    <t>16058052</t>
  </si>
  <si>
    <t>XV-2311561 Vaz H2 vedação inferior corpo</t>
  </si>
  <si>
    <t>2025-05-09 00:00:00</t>
  </si>
  <si>
    <t>0000001077</t>
  </si>
  <si>
    <t>312</t>
  </si>
  <si>
    <t>15880555</t>
  </si>
  <si>
    <t xml:space="preserve"> FT-64036(L-641) VAZ em conexão Rev. 41</t>
  </si>
  <si>
    <t>GÁS RESIDUAL</t>
  </si>
  <si>
    <t>PG</t>
  </si>
  <si>
    <t>313</t>
  </si>
  <si>
    <t>16099918</t>
  </si>
  <si>
    <t>D-2316-3H D-2316-3H Vaz HC S7-2316001</t>
  </si>
  <si>
    <t>002030605557</t>
  </si>
  <si>
    <t>2025-05-29 00:00:00</t>
  </si>
  <si>
    <t>317</t>
  </si>
  <si>
    <t>15734702</t>
  </si>
  <si>
    <t>D-504-M XV-50044A vent sem cap</t>
  </si>
  <si>
    <t>002029890818</t>
  </si>
  <si>
    <t>2025-08-20 00:00:00</t>
  </si>
  <si>
    <t>2024-11-21 00:00:00</t>
  </si>
  <si>
    <t>0000001111</t>
  </si>
  <si>
    <t>319</t>
  </si>
  <si>
    <t>15984109</t>
  </si>
  <si>
    <t>BOMBEIO J879 Linha sucção</t>
  </si>
  <si>
    <t>002030434292</t>
  </si>
  <si>
    <t>2025-04-01 00:00:00</t>
  </si>
  <si>
    <t>0000000546</t>
  </si>
  <si>
    <t>320</t>
  </si>
  <si>
    <t>16128945</t>
  </si>
  <si>
    <t>D-643-A PQT 1020 VAZ VAPOR V5</t>
  </si>
  <si>
    <t>002030667751</t>
  </si>
  <si>
    <t>0000001020</t>
  </si>
  <si>
    <t>322</t>
  </si>
  <si>
    <t>16141404</t>
  </si>
  <si>
    <t>D-504-M (J-593AT) - VAZ V30 - PQT150</t>
  </si>
  <si>
    <t>002030705614</t>
  </si>
  <si>
    <t>2025-06-20 00:00:00</t>
  </si>
  <si>
    <t>0000000150</t>
  </si>
  <si>
    <t>323</t>
  </si>
  <si>
    <t>14252309</t>
  </si>
  <si>
    <t xml:space="preserve"> D-703-A (LB de V5)-PQT 94 - VAZ V5</t>
  </si>
  <si>
    <t>002027072248</t>
  </si>
  <si>
    <t>2025-08-25 00:00:00</t>
  </si>
  <si>
    <t>2022-10-07 00:00:00</t>
  </si>
  <si>
    <t>324</t>
  </si>
  <si>
    <t>16059869</t>
  </si>
  <si>
    <t>SISTEMA PQT 064 VAZ VAPOR V05</t>
  </si>
  <si>
    <t>002030563466</t>
  </si>
  <si>
    <t>0000000064</t>
  </si>
  <si>
    <t>325</t>
  </si>
  <si>
    <t>15799628</t>
  </si>
  <si>
    <t>M-2225005 Vaz V45 espelho</t>
  </si>
  <si>
    <t>002030089116</t>
  </si>
  <si>
    <t>2025-05-16 00:00:00</t>
  </si>
  <si>
    <t>2024-12-27 00:00:00</t>
  </si>
  <si>
    <t>327</t>
  </si>
  <si>
    <t>16054962</t>
  </si>
  <si>
    <t>D-703-A PQT 1008 VAZ VAPOR V5</t>
  </si>
  <si>
    <t>002030532133</t>
  </si>
  <si>
    <t>2025-06-24 00:00:00</t>
  </si>
  <si>
    <t>2025-05-07 00:00:00</t>
  </si>
  <si>
    <t>0000001008</t>
  </si>
  <si>
    <t>329</t>
  </si>
  <si>
    <t>16155624</t>
  </si>
  <si>
    <t>D-23134J Vazamento C30 LB HDT</t>
  </si>
  <si>
    <t>002030732781</t>
  </si>
  <si>
    <t>2025-06-28 00:00:00</t>
  </si>
  <si>
    <t>0000001210</t>
  </si>
  <si>
    <t>330</t>
  </si>
  <si>
    <t>16186676</t>
  </si>
  <si>
    <t>U-800- TUBULAÇÕES PQT 179 VZ VAPOR V5</t>
  </si>
  <si>
    <t>002030802468</t>
  </si>
  <si>
    <t>2025-07-15 00:00:00</t>
  </si>
  <si>
    <t>0000000179</t>
  </si>
  <si>
    <t>331</t>
  </si>
  <si>
    <t>16196315</t>
  </si>
  <si>
    <t>U-800- TUBULAÇÕES PQT 015 VZ VAPOR V30</t>
  </si>
  <si>
    <t>002030823596</t>
  </si>
  <si>
    <t>2025-07-20 00:00:00</t>
  </si>
  <si>
    <t>0000000015</t>
  </si>
  <si>
    <t>332</t>
  </si>
  <si>
    <t>16149306</t>
  </si>
  <si>
    <t>U-800- TUBULAÇÕES PQT 121 VAZ VAPOR V5</t>
  </si>
  <si>
    <t>002030712062</t>
  </si>
  <si>
    <t>2025-06-25 00:00:00</t>
  </si>
  <si>
    <t>0000000121</t>
  </si>
  <si>
    <t>333</t>
  </si>
  <si>
    <t>16220259</t>
  </si>
  <si>
    <t>D-703-A FT-75701 PQT 1132 VAZ V5</t>
  </si>
  <si>
    <t>002030879015</t>
  </si>
  <si>
    <t>0000001132</t>
  </si>
  <si>
    <t>335</t>
  </si>
  <si>
    <t>16143840</t>
  </si>
  <si>
    <t>TUBULAÇÕES Vazamento de água J351A/B</t>
  </si>
  <si>
    <t>002030715192</t>
  </si>
  <si>
    <t>2025-06-22 00:00:00</t>
  </si>
  <si>
    <t>0000000139</t>
  </si>
  <si>
    <t>336</t>
  </si>
  <si>
    <t>16200397</t>
  </si>
  <si>
    <t>CJ A J-593A PQT 1005 VAZ VAPOR V30</t>
  </si>
  <si>
    <t>002030835848</t>
  </si>
  <si>
    <t>2025-07-22 00:00:00</t>
  </si>
  <si>
    <t>0000001005</t>
  </si>
  <si>
    <t>337</t>
  </si>
  <si>
    <t>16223765</t>
  </si>
  <si>
    <t>D-22254I Vaz V45 desvio PV-2225040</t>
  </si>
  <si>
    <t>002030892562</t>
  </si>
  <si>
    <t>2025-08-04 00:00:00</t>
  </si>
  <si>
    <t>0000000387</t>
  </si>
  <si>
    <t>338</t>
  </si>
  <si>
    <t>16042965</t>
  </si>
  <si>
    <t>FV-2313026 Vazamento de AR de instrument</t>
  </si>
  <si>
    <t>002030564117</t>
  </si>
  <si>
    <t>2025-05-26 00:00:00</t>
  </si>
  <si>
    <t>2025-05-02 00:00:00</t>
  </si>
  <si>
    <t>AR</t>
  </si>
  <si>
    <t>0000001043</t>
  </si>
  <si>
    <t>339</t>
  </si>
  <si>
    <t>16120788</t>
  </si>
  <si>
    <t>D-22254I O-2225008 VAZ V45 GAXETA DA VÁL</t>
  </si>
  <si>
    <t>002030651969</t>
  </si>
  <si>
    <t>2025-06-09 00:00:00</t>
  </si>
  <si>
    <t>0000001066</t>
  </si>
  <si>
    <t>340</t>
  </si>
  <si>
    <t>16150100</t>
  </si>
  <si>
    <t>TUBULAÇÕES DESCARGA DA J-5121004A/B</t>
  </si>
  <si>
    <t>002030715203</t>
  </si>
  <si>
    <t>343</t>
  </si>
  <si>
    <t>15260050</t>
  </si>
  <si>
    <t>D-504D (V5 p/ M-507A) - PQT 194 - VAZ V5</t>
  </si>
  <si>
    <t>002029001371</t>
  </si>
  <si>
    <t>2024-08-16 00:00:00</t>
  </si>
  <si>
    <t>2024-03-27 00:00:00</t>
  </si>
  <si>
    <t>0000000194</t>
  </si>
  <si>
    <t>344</t>
  </si>
  <si>
    <t>13538772</t>
  </si>
  <si>
    <t>D-573-D (FV-57046) - PQT 176 - VAZ V5</t>
  </si>
  <si>
    <t>002025869902</t>
  </si>
  <si>
    <t>2021-12-20 00:00:00</t>
  </si>
  <si>
    <t>2021-11-02 00:00:00</t>
  </si>
  <si>
    <t>0000000176</t>
  </si>
  <si>
    <t>350</t>
  </si>
  <si>
    <t>13706519</t>
  </si>
  <si>
    <t>D-2311-4A Vaz Castelo válvula PSV-231102</t>
  </si>
  <si>
    <t>2022-01-25 00:00:00</t>
  </si>
  <si>
    <t>0000000037</t>
  </si>
  <si>
    <t>364</t>
  </si>
  <si>
    <t>15984511</t>
  </si>
  <si>
    <t>FE-57032 VAZ V5 PQT 180</t>
  </si>
  <si>
    <t>002030373434</t>
  </si>
  <si>
    <t>0000000180</t>
  </si>
  <si>
    <t>365</t>
  </si>
  <si>
    <t>15593155</t>
  </si>
  <si>
    <t>BOMBEIO J-426B Pequeno vazamento</t>
  </si>
  <si>
    <t>002029611381</t>
  </si>
  <si>
    <t>2024-09-12 00:00:00</t>
  </si>
  <si>
    <t>366</t>
  </si>
  <si>
    <t>15807086</t>
  </si>
  <si>
    <t>D-2311-6C S5-2311001 (N-2311001) VAZ CON</t>
  </si>
  <si>
    <t>002030130919</t>
  </si>
  <si>
    <t>2025-01-01 00:00:00</t>
  </si>
  <si>
    <t>0000000157</t>
  </si>
  <si>
    <t>367</t>
  </si>
  <si>
    <t>15912174</t>
  </si>
  <si>
    <t>J-578B Vazamento pela carcaça</t>
  </si>
  <si>
    <t>002030259481</t>
  </si>
  <si>
    <t>2025-02-22 00:00:00</t>
  </si>
  <si>
    <t>0000000028</t>
  </si>
  <si>
    <t>369</t>
  </si>
  <si>
    <t>15791651</t>
  </si>
  <si>
    <t>CJ A TV-40003 TV-40003 VAZAMENTO na linh</t>
  </si>
  <si>
    <t>2024-12-22 00:00:00</t>
  </si>
  <si>
    <t>373</t>
  </si>
  <si>
    <t>16274976</t>
  </si>
  <si>
    <t>D-573-I PQT 1169 VAZ V30</t>
  </si>
  <si>
    <t>002030976760</t>
  </si>
  <si>
    <t>0000001169</t>
  </si>
  <si>
    <t>374</t>
  </si>
  <si>
    <t>16227112</t>
  </si>
  <si>
    <t>U-800- TUBULAÇÕES PQT 587 VAZ VAPOR V5</t>
  </si>
  <si>
    <t>002030938102</t>
  </si>
  <si>
    <t>0000000587</t>
  </si>
  <si>
    <t>375</t>
  </si>
  <si>
    <t>16255302</t>
  </si>
  <si>
    <t>U-800- TUBULAÇÕES PQT 186 VAZ VAPOR V5</t>
  </si>
  <si>
    <t>002030939966</t>
  </si>
  <si>
    <t>0000000186</t>
  </si>
  <si>
    <t>379</t>
  </si>
  <si>
    <t>16207239</t>
  </si>
  <si>
    <t>D-504-M PQT 94 VAZ VAPOR V30</t>
  </si>
  <si>
    <t>002030850342</t>
  </si>
  <si>
    <t>380</t>
  </si>
  <si>
    <t>SMS</t>
  </si>
  <si>
    <t>16191923</t>
  </si>
  <si>
    <t>RESFRIAMENTO PQT 1101 VAZ AGUA AF</t>
  </si>
  <si>
    <t>002030942575</t>
  </si>
  <si>
    <t>0000001101</t>
  </si>
  <si>
    <t>386</t>
  </si>
  <si>
    <t>16198777</t>
  </si>
  <si>
    <t>CJ B J-586B PQT 091 VAZ VAPOR V30</t>
  </si>
  <si>
    <t>002030835850</t>
  </si>
  <si>
    <t>2025-07-21 00:00:00</t>
  </si>
  <si>
    <t>387</t>
  </si>
  <si>
    <t>16215133</t>
  </si>
  <si>
    <t>D-607-F PQT 133 VAZ V30 purgador</t>
  </si>
  <si>
    <t>002030938101</t>
  </si>
  <si>
    <t>2025-07-30 00:00:00</t>
  </si>
  <si>
    <t>0000000133</t>
  </si>
  <si>
    <t>388</t>
  </si>
  <si>
    <t>16246816</t>
  </si>
  <si>
    <t>XV-50079 (J-588A) PQT 179 VAZ V30</t>
  </si>
  <si>
    <t>002030939250</t>
  </si>
  <si>
    <t>2025-08-13 00:00:00</t>
  </si>
  <si>
    <t>389</t>
  </si>
  <si>
    <t>16222505</t>
  </si>
  <si>
    <t>XV-64003 PQT 1020 Vaz V30 Gaxeta</t>
  </si>
  <si>
    <t>002030883445</t>
  </si>
  <si>
    <t>2025-08-03 00:00:00</t>
  </si>
  <si>
    <t>393</t>
  </si>
  <si>
    <t>16255279</t>
  </si>
  <si>
    <t>UNIDADE PG-6521-0028 vazamento dreno DFU</t>
  </si>
  <si>
    <t>002030954000</t>
  </si>
  <si>
    <t>0000001048</t>
  </si>
  <si>
    <t>394</t>
  </si>
  <si>
    <t>16092881</t>
  </si>
  <si>
    <t>LG-2225042 Com vazamento</t>
  </si>
  <si>
    <t>002030628185</t>
  </si>
  <si>
    <t>2025-05-27 00:00:00</t>
  </si>
  <si>
    <t>0000001051</t>
  </si>
  <si>
    <t>399</t>
  </si>
  <si>
    <t>16269037</t>
  </si>
  <si>
    <t>L-402 vazamento tubulão</t>
  </si>
  <si>
    <t>002030976573</t>
  </si>
  <si>
    <t>0000000102</t>
  </si>
  <si>
    <t>403</t>
  </si>
  <si>
    <t>14434560</t>
  </si>
  <si>
    <t>AE/AT-2225080 VAZ V5</t>
  </si>
  <si>
    <t>002027546813</t>
  </si>
  <si>
    <t>2023-01-04 00:00:00</t>
  </si>
  <si>
    <t>404</t>
  </si>
  <si>
    <t>15522700</t>
  </si>
  <si>
    <t>D-2316-4J Vaz C30 dreno M-2316011</t>
  </si>
  <si>
    <t>002029617173</t>
  </si>
  <si>
    <t>2024-08-08 00:00:00</t>
  </si>
  <si>
    <t>0000000026</t>
  </si>
  <si>
    <t>414</t>
  </si>
  <si>
    <t>15934786</t>
  </si>
  <si>
    <t>ACIONAMENTO J-587BT J-587BT PQT 41 VAZ V</t>
  </si>
  <si>
    <t>2025-03-07 00:00:00</t>
  </si>
  <si>
    <t>0000000041</t>
  </si>
  <si>
    <t>Tag do Equipamento</t>
  </si>
  <si>
    <t>Planta Industrial</t>
  </si>
  <si>
    <t>Distrito</t>
  </si>
  <si>
    <t>Unidade de Processo</t>
  </si>
  <si>
    <t>Status Operacional</t>
  </si>
  <si>
    <t xml:space="preserve">Data da última Inspeção </t>
  </si>
  <si>
    <t xml:space="preserve">Frequência Definida </t>
  </si>
  <si>
    <t xml:space="preserve">Data da Próxima Inspeção </t>
  </si>
  <si>
    <t xml:space="preserve">Tipo de Inspeção </t>
  </si>
  <si>
    <t>M-0500106A</t>
  </si>
  <si>
    <t>RECAP</t>
  </si>
  <si>
    <t>Distrito Refino</t>
  </si>
  <si>
    <t>Unidade de Destilação</t>
  </si>
  <si>
    <t>Em Manutenção</t>
  </si>
  <si>
    <t>Interno</t>
  </si>
  <si>
    <t>M-0500106B</t>
  </si>
  <si>
    <t>M-756</t>
  </si>
  <si>
    <t>Unidade de Solventes II</t>
  </si>
  <si>
    <t>O-649</t>
  </si>
  <si>
    <t>Unidade de Tratamento e Recuperação de Gases</t>
  </si>
  <si>
    <t>M-504</t>
  </si>
  <si>
    <t>Em Operação</t>
  </si>
  <si>
    <t>D-607F</t>
  </si>
  <si>
    <t>M-530A</t>
  </si>
  <si>
    <t>O-622</t>
  </si>
  <si>
    <t>M-550</t>
  </si>
  <si>
    <t>M-538</t>
  </si>
  <si>
    <t>O-626</t>
  </si>
  <si>
    <t>O-0500053</t>
  </si>
  <si>
    <t>PSV-70013A</t>
  </si>
  <si>
    <t>Unidade de Solventes I</t>
  </si>
  <si>
    <t>M-710</t>
  </si>
  <si>
    <t>M-709</t>
  </si>
  <si>
    <t>M-704</t>
  </si>
  <si>
    <t>D-642C</t>
  </si>
  <si>
    <t>Unidade de Tratamento de Águas Ácidas I</t>
  </si>
  <si>
    <t>D-505</t>
  </si>
  <si>
    <t>D-501O</t>
  </si>
  <si>
    <t>D-501L</t>
  </si>
  <si>
    <t>PSV-75721</t>
  </si>
  <si>
    <t>PSV-75720</t>
  </si>
  <si>
    <t>PSV-75710B</t>
  </si>
  <si>
    <t>PSV-75710A</t>
  </si>
  <si>
    <t>PSV-70201</t>
  </si>
  <si>
    <t>PSV-70013B</t>
  </si>
  <si>
    <t>M-532C</t>
  </si>
  <si>
    <t>M-532D</t>
  </si>
  <si>
    <t>D-502G</t>
  </si>
  <si>
    <t>D-753</t>
  </si>
  <si>
    <t>D-752D</t>
  </si>
  <si>
    <t>D-752C</t>
  </si>
  <si>
    <t>D-752B</t>
  </si>
  <si>
    <t>D-752A</t>
  </si>
  <si>
    <t>D-752</t>
  </si>
  <si>
    <t>D-1202C</t>
  </si>
  <si>
    <t>Unidade de Separação de Propeno</t>
  </si>
  <si>
    <t>D-1203A</t>
  </si>
  <si>
    <t>D-607K</t>
  </si>
  <si>
    <t>O-621A</t>
  </si>
  <si>
    <t>PSV-50756A</t>
  </si>
  <si>
    <t>D-502E</t>
  </si>
  <si>
    <t>D-502H</t>
  </si>
  <si>
    <t>PSV-57382</t>
  </si>
  <si>
    <t>Craqueamento Catalítico de Resíduo</t>
  </si>
  <si>
    <t>D-701B</t>
  </si>
  <si>
    <t>D-702D</t>
  </si>
  <si>
    <t>D-702C</t>
  </si>
  <si>
    <t>D-702B</t>
  </si>
  <si>
    <t>D-702A</t>
  </si>
  <si>
    <t>D-701E</t>
  </si>
  <si>
    <t>D-701D</t>
  </si>
  <si>
    <t>D-701C</t>
  </si>
  <si>
    <t>PSV-64013</t>
  </si>
  <si>
    <t>D-641D</t>
  </si>
  <si>
    <t>PSV-70012</t>
  </si>
  <si>
    <t>PSV-64024</t>
  </si>
  <si>
    <t>PSV-64022</t>
  </si>
  <si>
    <t>PSV-64019</t>
  </si>
  <si>
    <t>D-1203C</t>
  </si>
  <si>
    <t>J-628B</t>
  </si>
  <si>
    <t>PSV-70202</t>
  </si>
  <si>
    <t>N-704</t>
  </si>
  <si>
    <t>M-703</t>
  </si>
  <si>
    <t>PSV-77017</t>
  </si>
  <si>
    <t>PSV-77015B</t>
  </si>
  <si>
    <t>PSV-77015A</t>
  </si>
  <si>
    <t>PSV-50480</t>
  </si>
  <si>
    <t>M-529A</t>
  </si>
  <si>
    <t>PSV-60712</t>
  </si>
  <si>
    <t>D-501I</t>
  </si>
  <si>
    <t>M-592B</t>
  </si>
  <si>
    <t>D-603B</t>
  </si>
  <si>
    <t>D-602E</t>
  </si>
  <si>
    <t>D-504S</t>
  </si>
  <si>
    <t>D-502D</t>
  </si>
  <si>
    <t>M-575A</t>
  </si>
  <si>
    <t>D-504O</t>
  </si>
  <si>
    <t>D-705A</t>
  </si>
  <si>
    <t>PSV-57383</t>
  </si>
  <si>
    <t>D-709</t>
  </si>
  <si>
    <t>M-622</t>
  </si>
  <si>
    <t>O-1219</t>
  </si>
  <si>
    <t>M-1211B</t>
  </si>
  <si>
    <t>M-1211A</t>
  </si>
  <si>
    <t>M-636B</t>
  </si>
  <si>
    <t>D-501J</t>
  </si>
  <si>
    <t>D-573I</t>
  </si>
  <si>
    <t>PSV-50705B</t>
  </si>
  <si>
    <t>P-571</t>
  </si>
  <si>
    <t>D-601J</t>
  </si>
  <si>
    <t>PSV-12016</t>
  </si>
  <si>
    <t>PSV-12345</t>
  </si>
  <si>
    <t>PSV-12032</t>
  </si>
  <si>
    <t>PSV-12020</t>
  </si>
  <si>
    <t>PSV-12019</t>
  </si>
  <si>
    <t>PSV-12018</t>
  </si>
  <si>
    <t>SL-571</t>
  </si>
  <si>
    <t>PSV-50958</t>
  </si>
  <si>
    <t>PSV-0570880</t>
  </si>
  <si>
    <t>D-573N</t>
  </si>
  <si>
    <t>PSV-50455</t>
  </si>
  <si>
    <t>M-546</t>
  </si>
  <si>
    <t>D-703F</t>
  </si>
  <si>
    <t>D-703G</t>
  </si>
  <si>
    <t>PSV-12341</t>
  </si>
  <si>
    <t>PSV-12342</t>
  </si>
  <si>
    <t>D-756</t>
  </si>
  <si>
    <t>D-501A</t>
  </si>
  <si>
    <t>D-604B</t>
  </si>
  <si>
    <t>M-612A</t>
  </si>
  <si>
    <t>M-617</t>
  </si>
  <si>
    <t>M-631A</t>
  </si>
  <si>
    <t>PSV-12001A</t>
  </si>
  <si>
    <t>N-1203</t>
  </si>
  <si>
    <t>N-1202</t>
  </si>
  <si>
    <t>N-1201</t>
  </si>
  <si>
    <t>P-1202</t>
  </si>
  <si>
    <t>O-1210</t>
  </si>
  <si>
    <t>O-1209</t>
  </si>
  <si>
    <t>O-1208</t>
  </si>
  <si>
    <t>O-1206</t>
  </si>
  <si>
    <t>O-1205</t>
  </si>
  <si>
    <t>D-1208</t>
  </si>
  <si>
    <t>D-1207</t>
  </si>
  <si>
    <t>D-1204</t>
  </si>
  <si>
    <t>D-1203D</t>
  </si>
  <si>
    <t>D-1203B</t>
  </si>
  <si>
    <t>D-1202D</t>
  </si>
  <si>
    <t>D-1202B</t>
  </si>
  <si>
    <t>D-1202A</t>
  </si>
  <si>
    <t>D-1202</t>
  </si>
  <si>
    <t>D-1201D</t>
  </si>
  <si>
    <t>D-1201C</t>
  </si>
  <si>
    <t>D-1201B</t>
  </si>
  <si>
    <t>D-1201A</t>
  </si>
  <si>
    <t>D-1201</t>
  </si>
  <si>
    <t>PSV-12346</t>
  </si>
  <si>
    <t>PSV-12321</t>
  </si>
  <si>
    <t>PSV-12320</t>
  </si>
  <si>
    <t>PSV-12031</t>
  </si>
  <si>
    <t>PSV-12030</t>
  </si>
  <si>
    <t>PSV-12021</t>
  </si>
  <si>
    <t>PSV-12015</t>
  </si>
  <si>
    <t>PSV-12011</t>
  </si>
  <si>
    <t>PSV-12010</t>
  </si>
  <si>
    <t>PSV-12007</t>
  </si>
  <si>
    <t>PSV-12006</t>
  </si>
  <si>
    <t>PSV-12005B</t>
  </si>
  <si>
    <t>PSV-12005A</t>
  </si>
  <si>
    <t>PSV-12003B</t>
  </si>
  <si>
    <t>PSV-12003A</t>
  </si>
  <si>
    <t>PSV-12001B</t>
  </si>
  <si>
    <t>PSV-12022</t>
  </si>
  <si>
    <t>PSV-0500308</t>
  </si>
  <si>
    <t>VS-574</t>
  </si>
  <si>
    <t>L-571</t>
  </si>
  <si>
    <t>L-506</t>
  </si>
  <si>
    <t>K-573</t>
  </si>
  <si>
    <t>K-572</t>
  </si>
  <si>
    <t>N-616</t>
  </si>
  <si>
    <t>N-612</t>
  </si>
  <si>
    <t>N-606</t>
  </si>
  <si>
    <t>N-507</t>
  </si>
  <si>
    <t>N-506</t>
  </si>
  <si>
    <t>N-504</t>
  </si>
  <si>
    <t>N-503</t>
  </si>
  <si>
    <t>M-518D</t>
  </si>
  <si>
    <t>M-518C</t>
  </si>
  <si>
    <t>M-518B</t>
  </si>
  <si>
    <t>M-514B</t>
  </si>
  <si>
    <t>M-514A</t>
  </si>
  <si>
    <t>M-513A</t>
  </si>
  <si>
    <t>M-509D</t>
  </si>
  <si>
    <t>P-682</t>
  </si>
  <si>
    <t>P-604</t>
  </si>
  <si>
    <t>M-637</t>
  </si>
  <si>
    <t>M-632</t>
  </si>
  <si>
    <t>M-618</t>
  </si>
  <si>
    <t>M-611</t>
  </si>
  <si>
    <t>M-572</t>
  </si>
  <si>
    <t>M-571</t>
  </si>
  <si>
    <t>M-548</t>
  </si>
  <si>
    <t>M-544B</t>
  </si>
  <si>
    <t>M-544A</t>
  </si>
  <si>
    <t>M-542</t>
  </si>
  <si>
    <t>M-541</t>
  </si>
  <si>
    <t>M-522B</t>
  </si>
  <si>
    <t>M-522A</t>
  </si>
  <si>
    <t>M-520</t>
  </si>
  <si>
    <t>M-517B</t>
  </si>
  <si>
    <t>M-517A</t>
  </si>
  <si>
    <t>M-507B</t>
  </si>
  <si>
    <t>M-506</t>
  </si>
  <si>
    <t>M-505A</t>
  </si>
  <si>
    <t>M-0600063</t>
  </si>
  <si>
    <t>O-687</t>
  </si>
  <si>
    <t>O-683</t>
  </si>
  <si>
    <t>O-636</t>
  </si>
  <si>
    <t>O-624</t>
  </si>
  <si>
    <t>O-591</t>
  </si>
  <si>
    <t>O-589</t>
  </si>
  <si>
    <t>O-577</t>
  </si>
  <si>
    <t>O-527</t>
  </si>
  <si>
    <t>O-526</t>
  </si>
  <si>
    <t>O-521</t>
  </si>
  <si>
    <t>O-505</t>
  </si>
  <si>
    <t>O-503</t>
  </si>
  <si>
    <t>O-501</t>
  </si>
  <si>
    <t>O-2313100</t>
  </si>
  <si>
    <t>K-571</t>
  </si>
  <si>
    <t>D-707</t>
  </si>
  <si>
    <t>D-706B</t>
  </si>
  <si>
    <t>D-706A</t>
  </si>
  <si>
    <t>D-704E</t>
  </si>
  <si>
    <t>D-704B</t>
  </si>
  <si>
    <t>D-704A</t>
  </si>
  <si>
    <t>D-701A</t>
  </si>
  <si>
    <t>D-647</t>
  </si>
  <si>
    <t>D-645</t>
  </si>
  <si>
    <t>D-642B</t>
  </si>
  <si>
    <t>D-642A</t>
  </si>
  <si>
    <t>D-642</t>
  </si>
  <si>
    <t>D-641E</t>
  </si>
  <si>
    <t>D-641C</t>
  </si>
  <si>
    <t>D-641B</t>
  </si>
  <si>
    <t>D-611</t>
  </si>
  <si>
    <t>D-610</t>
  </si>
  <si>
    <t>D-608B</t>
  </si>
  <si>
    <t>D-608A</t>
  </si>
  <si>
    <t>D-608</t>
  </si>
  <si>
    <t>D-607C</t>
  </si>
  <si>
    <t>D-606</t>
  </si>
  <si>
    <t>D-604F</t>
  </si>
  <si>
    <t>D-604E</t>
  </si>
  <si>
    <t>D-604C</t>
  </si>
  <si>
    <t>Fora de Operação</t>
  </si>
  <si>
    <t>D-604A</t>
  </si>
  <si>
    <t>D-604</t>
  </si>
  <si>
    <t>D-603D</t>
  </si>
  <si>
    <t>D-603A</t>
  </si>
  <si>
    <t>D-603</t>
  </si>
  <si>
    <t>D-602I</t>
  </si>
  <si>
    <t>D-602H</t>
  </si>
  <si>
    <t>D-602G</t>
  </si>
  <si>
    <t>D-602F</t>
  </si>
  <si>
    <t>D-602D</t>
  </si>
  <si>
    <t>D-602C</t>
  </si>
  <si>
    <t>D-602B</t>
  </si>
  <si>
    <t>D-602A</t>
  </si>
  <si>
    <t>D-602</t>
  </si>
  <si>
    <t>D-601K</t>
  </si>
  <si>
    <t>D-601I</t>
  </si>
  <si>
    <t>D-601H</t>
  </si>
  <si>
    <t>D-601G</t>
  </si>
  <si>
    <t>D-601F</t>
  </si>
  <si>
    <t>D-601E</t>
  </si>
  <si>
    <t>D-601D</t>
  </si>
  <si>
    <t>D-601C</t>
  </si>
  <si>
    <t>D-576</t>
  </si>
  <si>
    <t>D-575</t>
  </si>
  <si>
    <t>D-573Q</t>
  </si>
  <si>
    <t>D-573O</t>
  </si>
  <si>
    <t>D-573G</t>
  </si>
  <si>
    <t>D-573E</t>
  </si>
  <si>
    <t>D-571C</t>
  </si>
  <si>
    <t>D-571B</t>
  </si>
  <si>
    <t>D-571A</t>
  </si>
  <si>
    <t>D-507G</t>
  </si>
  <si>
    <t>D-504R</t>
  </si>
  <si>
    <t>D-504P</t>
  </si>
  <si>
    <t>D-504G</t>
  </si>
  <si>
    <t>D-502I</t>
  </si>
  <si>
    <t>D-502C</t>
  </si>
  <si>
    <t>D-502B</t>
  </si>
  <si>
    <t>D-501S</t>
  </si>
  <si>
    <t>D-501R</t>
  </si>
  <si>
    <t>D-501Q</t>
  </si>
  <si>
    <t>D-501P</t>
  </si>
  <si>
    <t>D-501N</t>
  </si>
  <si>
    <t>D-501K</t>
  </si>
  <si>
    <t>D-501G</t>
  </si>
  <si>
    <t>D-501F</t>
  </si>
  <si>
    <t>D-501E</t>
  </si>
  <si>
    <t>D-501D</t>
  </si>
  <si>
    <t>D-501C</t>
  </si>
  <si>
    <t>PSV-77049B</t>
  </si>
  <si>
    <t>PSV-77049A</t>
  </si>
  <si>
    <t>PSV-77046</t>
  </si>
  <si>
    <t>PSV-77041B</t>
  </si>
  <si>
    <t>PSV-77041A</t>
  </si>
  <si>
    <t>PSV-77040</t>
  </si>
  <si>
    <t>PSV-77039</t>
  </si>
  <si>
    <t>PSV-75719</t>
  </si>
  <si>
    <t>PSV-75717</t>
  </si>
  <si>
    <t>PSV-64033A</t>
  </si>
  <si>
    <t>PSV-64016</t>
  </si>
  <si>
    <t>PSV-64012</t>
  </si>
  <si>
    <t>PSV-64010</t>
  </si>
  <si>
    <t>PSV-64008</t>
  </si>
  <si>
    <t>PSV-64007</t>
  </si>
  <si>
    <t>PSV-64006</t>
  </si>
  <si>
    <t>PSV-64005</t>
  </si>
  <si>
    <t>PSV-60829</t>
  </si>
  <si>
    <t>PSV-60827</t>
  </si>
  <si>
    <t>PSV-60826</t>
  </si>
  <si>
    <t>PSV-60803</t>
  </si>
  <si>
    <t>PSV-60759</t>
  </si>
  <si>
    <t>PSV-60744</t>
  </si>
  <si>
    <t>PSV-60741</t>
  </si>
  <si>
    <t>PSV-60734A</t>
  </si>
  <si>
    <t>PSV-60733</t>
  </si>
  <si>
    <t>PSV-60732</t>
  </si>
  <si>
    <t>PSV-60731A</t>
  </si>
  <si>
    <t>PSV-60729</t>
  </si>
  <si>
    <t>PSV-60726</t>
  </si>
  <si>
    <t>PSV-60721</t>
  </si>
  <si>
    <t>PSV-60720</t>
  </si>
  <si>
    <t>PSV-60718</t>
  </si>
  <si>
    <t>PSV-60713</t>
  </si>
  <si>
    <t>PSV-60711</t>
  </si>
  <si>
    <t>PSV-60710</t>
  </si>
  <si>
    <t>PSV-60709</t>
  </si>
  <si>
    <t>PSV-60708</t>
  </si>
  <si>
    <t>PSV-60707</t>
  </si>
  <si>
    <t>PSV-60705</t>
  </si>
  <si>
    <t>PSV-60702</t>
  </si>
  <si>
    <t>PSV-60687B</t>
  </si>
  <si>
    <t>PSV-60687</t>
  </si>
  <si>
    <t>PSV-60684</t>
  </si>
  <si>
    <t>PSV-60683</t>
  </si>
  <si>
    <t>PSV-60682</t>
  </si>
  <si>
    <t>PSV-60681A</t>
  </si>
  <si>
    <t>PSV-60679A</t>
  </si>
  <si>
    <t>PSV-60637A</t>
  </si>
  <si>
    <t>PSV-60630B</t>
  </si>
  <si>
    <t>PSV-60630A</t>
  </si>
  <si>
    <t>PSV-60627C</t>
  </si>
  <si>
    <t>PSV-60620A</t>
  </si>
  <si>
    <t>PSV-60616A</t>
  </si>
  <si>
    <t>PSV-60612A</t>
  </si>
  <si>
    <t>PSV-60611A</t>
  </si>
  <si>
    <t>PSV-60608B</t>
  </si>
  <si>
    <t>PSV-60608A</t>
  </si>
  <si>
    <t>PSV-60605A</t>
  </si>
  <si>
    <t>PSV-60382</t>
  </si>
  <si>
    <t>PSV-60380</t>
  </si>
  <si>
    <t>PSV-60373</t>
  </si>
  <si>
    <t>PSV-60321B</t>
  </si>
  <si>
    <t>PSV-60321A</t>
  </si>
  <si>
    <t>PSV-60170</t>
  </si>
  <si>
    <t>PSV-60158</t>
  </si>
  <si>
    <t>PSV-60156</t>
  </si>
  <si>
    <t>PSV-60155</t>
  </si>
  <si>
    <t>PSV-60024</t>
  </si>
  <si>
    <t>PSV-60010A</t>
  </si>
  <si>
    <t>PSV-60007D</t>
  </si>
  <si>
    <t>PSV-60007C</t>
  </si>
  <si>
    <t>PSV-57701</t>
  </si>
  <si>
    <t>PSV-57501</t>
  </si>
  <si>
    <t>PSV-57500</t>
  </si>
  <si>
    <t>PSV-57404</t>
  </si>
  <si>
    <t>PSV-57390</t>
  </si>
  <si>
    <t>PSV-57386D</t>
  </si>
  <si>
    <t>PSV-57386C</t>
  </si>
  <si>
    <t>PSV-57386B</t>
  </si>
  <si>
    <t>PSV-57386A</t>
  </si>
  <si>
    <t>PSV-57385A</t>
  </si>
  <si>
    <t>PSV-57381</t>
  </si>
  <si>
    <t>PSV-57380</t>
  </si>
  <si>
    <t>PSV-57377</t>
  </si>
  <si>
    <t>PSV-57373</t>
  </si>
  <si>
    <t>PSV-57371</t>
  </si>
  <si>
    <t>PSV-57275</t>
  </si>
  <si>
    <t>PSV-57121B</t>
  </si>
  <si>
    <t>PSV-57121A</t>
  </si>
  <si>
    <t>PSV-57077</t>
  </si>
  <si>
    <t>PSV-57073A</t>
  </si>
  <si>
    <t>PSV-57070B</t>
  </si>
  <si>
    <t>PSV-57023</t>
  </si>
  <si>
    <t>PSV-57022</t>
  </si>
  <si>
    <t>PSV-57008</t>
  </si>
  <si>
    <t>PSV-57006</t>
  </si>
  <si>
    <t>PSV-57005</t>
  </si>
  <si>
    <t>PSV-57004</t>
  </si>
  <si>
    <t>PSV-57002</t>
  </si>
  <si>
    <t>PSV-50964</t>
  </si>
  <si>
    <t>PSV-50963</t>
  </si>
  <si>
    <t>PSV-50962</t>
  </si>
  <si>
    <t>PSV-50961</t>
  </si>
  <si>
    <t>PSV-50960</t>
  </si>
  <si>
    <t>PSV-50959</t>
  </si>
  <si>
    <t>PSV-50953B</t>
  </si>
  <si>
    <t>PSV-50953A</t>
  </si>
  <si>
    <t>PSV-50760</t>
  </si>
  <si>
    <t>PSV-50756B</t>
  </si>
  <si>
    <t>PSV-50752</t>
  </si>
  <si>
    <t>PSV-50723</t>
  </si>
  <si>
    <t>PSV-50715</t>
  </si>
  <si>
    <t>PSV-50702A</t>
  </si>
  <si>
    <t>PSV-50693</t>
  </si>
  <si>
    <t>PSV-50478</t>
  </si>
  <si>
    <t>PSV-50454</t>
  </si>
  <si>
    <t>PSV-50438</t>
  </si>
  <si>
    <t>PSV-50427</t>
  </si>
  <si>
    <t>PSV-50426</t>
  </si>
  <si>
    <t>PSV-50425</t>
  </si>
  <si>
    <t>PSV-50424</t>
  </si>
  <si>
    <t>PSV-50423</t>
  </si>
  <si>
    <t>PSV-50412</t>
  </si>
  <si>
    <t>PSV-50401</t>
  </si>
  <si>
    <t>PSV-50400</t>
  </si>
  <si>
    <t>PSV-50174</t>
  </si>
  <si>
    <t>PSV-50173</t>
  </si>
  <si>
    <t>PSV-50172</t>
  </si>
  <si>
    <t>PSV-50171</t>
  </si>
  <si>
    <t>PSV-50132</t>
  </si>
  <si>
    <t>PSV-50124</t>
  </si>
  <si>
    <t>PSV-50123</t>
  </si>
  <si>
    <t>PSV-50122</t>
  </si>
  <si>
    <t>PSV-50121A</t>
  </si>
  <si>
    <t>PSV-50115A</t>
  </si>
  <si>
    <t>PSV-50105</t>
  </si>
  <si>
    <t>PSV-50092</t>
  </si>
  <si>
    <t>PSV-50047</t>
  </si>
  <si>
    <t>PSV-50046</t>
  </si>
  <si>
    <t>PSV-50040D</t>
  </si>
  <si>
    <t>PSV-50040C</t>
  </si>
  <si>
    <t>PSV-50040B</t>
  </si>
  <si>
    <t>PSV-50040A</t>
  </si>
  <si>
    <t>PSV-50022</t>
  </si>
  <si>
    <t>PSV-50020</t>
  </si>
  <si>
    <t>PSV-50012</t>
  </si>
  <si>
    <t>PSV-50011C</t>
  </si>
  <si>
    <t>PSV-50011B</t>
  </si>
  <si>
    <t>PSV-50011A</t>
  </si>
  <si>
    <t>PSV-50010</t>
  </si>
  <si>
    <t>PSV-50008A</t>
  </si>
  <si>
    <t>PSV-50004A</t>
  </si>
  <si>
    <t>PSV-0500767</t>
  </si>
  <si>
    <t>M-533C</t>
  </si>
  <si>
    <t>M-533D</t>
  </si>
  <si>
    <t>D-501H</t>
  </si>
  <si>
    <t>O-646</t>
  </si>
  <si>
    <t>M-646</t>
  </si>
  <si>
    <t>M-517C</t>
  </si>
  <si>
    <t>O-712</t>
  </si>
  <si>
    <t>D-704D</t>
  </si>
  <si>
    <t>M-501B</t>
  </si>
  <si>
    <t>PSV-50126</t>
  </si>
  <si>
    <t>PSV-75010</t>
  </si>
  <si>
    <t>PSV-50133</t>
  </si>
  <si>
    <t>PSV-57011</t>
  </si>
  <si>
    <t>PSV-50453</t>
  </si>
  <si>
    <t>M-532A</t>
  </si>
  <si>
    <t>M-532B</t>
  </si>
  <si>
    <t>PSV-50232</t>
  </si>
  <si>
    <t>PSV-77048A</t>
  </si>
  <si>
    <t>PSV-77048B</t>
  </si>
  <si>
    <t>PSV-50707A</t>
  </si>
  <si>
    <t>PSV-50436</t>
  </si>
  <si>
    <t>PSV-50437</t>
  </si>
  <si>
    <t>M-647</t>
  </si>
  <si>
    <t>PSV-50045</t>
  </si>
  <si>
    <t>M-1208A</t>
  </si>
  <si>
    <t>M-1210</t>
  </si>
  <si>
    <t>PSV-50038A</t>
  </si>
  <si>
    <t>PSV-50705A</t>
  </si>
  <si>
    <t>PSV-50704</t>
  </si>
  <si>
    <t>PSV-50534B</t>
  </si>
  <si>
    <t>PSV-50464</t>
  </si>
  <si>
    <t>PSV-50463</t>
  </si>
  <si>
    <t>PSV-50447</t>
  </si>
  <si>
    <t>PSV-50114H</t>
  </si>
  <si>
    <t>PSV-50114G</t>
  </si>
  <si>
    <t>PSV-50114F</t>
  </si>
  <si>
    <t>PSV-50114E</t>
  </si>
  <si>
    <t>PSV-50038B</t>
  </si>
  <si>
    <t>PSV-50771</t>
  </si>
  <si>
    <t>O-620</t>
  </si>
  <si>
    <t>M-509C</t>
  </si>
  <si>
    <t>M-509B</t>
  </si>
  <si>
    <t>M-509A</t>
  </si>
  <si>
    <t>M-565</t>
  </si>
  <si>
    <t>O-633</t>
  </si>
  <si>
    <t>PSV-57007C</t>
  </si>
  <si>
    <t>PRD-57853</t>
  </si>
  <si>
    <t>PRD-57007C</t>
  </si>
  <si>
    <t>PSV-60728</t>
  </si>
  <si>
    <t>PSV-60615B</t>
  </si>
  <si>
    <t>PSV-60615A</t>
  </si>
  <si>
    <t>PSV-60157</t>
  </si>
  <si>
    <t>PSV-60154</t>
  </si>
  <si>
    <t>PSV-57852</t>
  </si>
  <si>
    <t>PSV-50127</t>
  </si>
  <si>
    <t>PSV-50759</t>
  </si>
  <si>
    <t>PSV-50129</t>
  </si>
  <si>
    <t>PSV-50134</t>
  </si>
  <si>
    <t>PSV-60680</t>
  </si>
  <si>
    <t>M-549</t>
  </si>
  <si>
    <t>PSV-50121B</t>
  </si>
  <si>
    <t>PSV-50714</t>
  </si>
  <si>
    <t>PSV-57074</t>
  </si>
  <si>
    <t>PSV-50279C</t>
  </si>
  <si>
    <t>PSV-57007A</t>
  </si>
  <si>
    <t>PRD-57007A</t>
  </si>
  <si>
    <t>M-621</t>
  </si>
  <si>
    <t>M-552</t>
  </si>
  <si>
    <t>M-0640052A</t>
  </si>
  <si>
    <t>PSV-70205</t>
  </si>
  <si>
    <t>M-0640052B</t>
  </si>
  <si>
    <t>M-2313100A</t>
  </si>
  <si>
    <t>M-0500105A</t>
  </si>
  <si>
    <t>N-701</t>
  </si>
  <si>
    <t>M-0750063B</t>
  </si>
  <si>
    <t>M-636A</t>
  </si>
  <si>
    <t>M-0750064A</t>
  </si>
  <si>
    <t>M-0750064B</t>
  </si>
  <si>
    <t>PSV-50569</t>
  </si>
  <si>
    <t>M-507A</t>
  </si>
  <si>
    <t>D-504E</t>
  </si>
  <si>
    <t>D-572</t>
  </si>
  <si>
    <t>M-567</t>
  </si>
  <si>
    <t>M-519D</t>
  </si>
  <si>
    <t>M-519C</t>
  </si>
  <si>
    <t>M-503D</t>
  </si>
  <si>
    <t>M-503C</t>
  </si>
  <si>
    <t>O-638</t>
  </si>
  <si>
    <t>O-0500072</t>
  </si>
  <si>
    <t>O-0500071</t>
  </si>
  <si>
    <t>O-570</t>
  </si>
  <si>
    <t>M-623B</t>
  </si>
  <si>
    <t>M-574</t>
  </si>
  <si>
    <t>P-605</t>
  </si>
  <si>
    <t>P-576</t>
  </si>
  <si>
    <t>O-686</t>
  </si>
  <si>
    <t>O-595</t>
  </si>
  <si>
    <t>D-643D</t>
  </si>
  <si>
    <t>M-530B</t>
  </si>
  <si>
    <t>M-0640048</t>
  </si>
  <si>
    <t>M-0500107A</t>
  </si>
  <si>
    <t>M-0500109B</t>
  </si>
  <si>
    <t>M-0500109A</t>
  </si>
  <si>
    <t>M-0500108B</t>
  </si>
  <si>
    <t>M-0500108A</t>
  </si>
  <si>
    <t>M-0500107B</t>
  </si>
  <si>
    <t>PSV-50764A</t>
  </si>
  <si>
    <t>M-630B</t>
  </si>
  <si>
    <t>D-577</t>
  </si>
  <si>
    <t>D-641A</t>
  </si>
  <si>
    <t>O-579</t>
  </si>
  <si>
    <t>M-581B</t>
  </si>
  <si>
    <t>D-704C</t>
  </si>
  <si>
    <t>O-1204</t>
  </si>
  <si>
    <t>M-1204</t>
  </si>
  <si>
    <t>M-1203</t>
  </si>
  <si>
    <t>M-604</t>
  </si>
  <si>
    <t>M-605B</t>
  </si>
  <si>
    <t>M-605A</t>
  </si>
  <si>
    <t>M-711</t>
  </si>
  <si>
    <t>O-703</t>
  </si>
  <si>
    <t>PSV-50479</t>
  </si>
  <si>
    <t>N-703</t>
  </si>
  <si>
    <t>O-0640028B</t>
  </si>
  <si>
    <t>O-0750064B</t>
  </si>
  <si>
    <t>O-0750064A</t>
  </si>
  <si>
    <t>O-0500060A</t>
  </si>
  <si>
    <t>O-0750065B</t>
  </si>
  <si>
    <t>O-0750065A</t>
  </si>
  <si>
    <t>O-0640028A</t>
  </si>
  <si>
    <t>O-0500070B</t>
  </si>
  <si>
    <t>O-0500070A</t>
  </si>
  <si>
    <t>O-0500061B</t>
  </si>
  <si>
    <t>O-0500061A</t>
  </si>
  <si>
    <t>O-1213B</t>
  </si>
  <si>
    <t>O-580</t>
  </si>
  <si>
    <t>O-1213A</t>
  </si>
  <si>
    <t>O-1214B</t>
  </si>
  <si>
    <t>PSV-50291B</t>
  </si>
  <si>
    <t>M-625</t>
  </si>
  <si>
    <t>M-501A</t>
  </si>
  <si>
    <t>M-513B</t>
  </si>
  <si>
    <t>PSV-70203</t>
  </si>
  <si>
    <t>PSV-50765A</t>
  </si>
  <si>
    <t>PSV-50965</t>
  </si>
  <si>
    <t>PSV-50966</t>
  </si>
  <si>
    <t>O-763B</t>
  </si>
  <si>
    <t>M-551</t>
  </si>
  <si>
    <t>PSV-60304</t>
  </si>
  <si>
    <t>M-582</t>
  </si>
  <si>
    <t>PSV-64034</t>
  </si>
  <si>
    <t>M-640</t>
  </si>
  <si>
    <t>PSV-60689</t>
  </si>
  <si>
    <t>PSV-50766A</t>
  </si>
  <si>
    <t>PSV-50413</t>
  </si>
  <si>
    <t>PSV-2313311B</t>
  </si>
  <si>
    <t>J-0500122A</t>
  </si>
  <si>
    <t>J-0570109B</t>
  </si>
  <si>
    <t>J-0570109A</t>
  </si>
  <si>
    <t>J-0500122B</t>
  </si>
  <si>
    <t>PSV-64015</t>
  </si>
  <si>
    <t>PSV-64018</t>
  </si>
  <si>
    <t>PSV-57012</t>
  </si>
  <si>
    <t>M-2313100B</t>
  </si>
  <si>
    <t>PSV-50272</t>
  </si>
  <si>
    <t>M-641</t>
  </si>
  <si>
    <t>PSV-50975A</t>
  </si>
  <si>
    <t>PSV-60160A</t>
  </si>
  <si>
    <t>PSV-60685</t>
  </si>
  <si>
    <t>O-1200019</t>
  </si>
  <si>
    <t>M-1209</t>
  </si>
  <si>
    <t>M-1208B</t>
  </si>
  <si>
    <t>M-1207B</t>
  </si>
  <si>
    <t>M-1207A</t>
  </si>
  <si>
    <t>M-1206</t>
  </si>
  <si>
    <t>M-1205</t>
  </si>
  <si>
    <t>M-1202</t>
  </si>
  <si>
    <t>M-1201</t>
  </si>
  <si>
    <t>M-1200013A</t>
  </si>
  <si>
    <t>M-1200012</t>
  </si>
  <si>
    <t>O-1207</t>
  </si>
  <si>
    <t>O-1203</t>
  </si>
  <si>
    <t>O-1201</t>
  </si>
  <si>
    <t>O-528</t>
  </si>
  <si>
    <t>N-614</t>
  </si>
  <si>
    <t>N-613</t>
  </si>
  <si>
    <t>N-611</t>
  </si>
  <si>
    <t>N-603</t>
  </si>
  <si>
    <t>N-601</t>
  </si>
  <si>
    <t>N-508</t>
  </si>
  <si>
    <t>M-614A</t>
  </si>
  <si>
    <t>M-562B</t>
  </si>
  <si>
    <t>M-562A</t>
  </si>
  <si>
    <t>M-0600060A</t>
  </si>
  <si>
    <t>P-603</t>
  </si>
  <si>
    <t>O-621</t>
  </si>
  <si>
    <t>O-617</t>
  </si>
  <si>
    <t>M-631B</t>
  </si>
  <si>
    <t>M-629B</t>
  </si>
  <si>
    <t>M-613</t>
  </si>
  <si>
    <t>M-612B</t>
  </si>
  <si>
    <t>M-602</t>
  </si>
  <si>
    <t>M-563</t>
  </si>
  <si>
    <t>M-537</t>
  </si>
  <si>
    <t>M-536</t>
  </si>
  <si>
    <t>M-505B</t>
  </si>
  <si>
    <t>O-706</t>
  </si>
  <si>
    <t>O-635</t>
  </si>
  <si>
    <t>O-634</t>
  </si>
  <si>
    <t>O-618</t>
  </si>
  <si>
    <t>O-605</t>
  </si>
  <si>
    <t>O-592</t>
  </si>
  <si>
    <t>O-590</t>
  </si>
  <si>
    <t>O-586</t>
  </si>
  <si>
    <t>O-711</t>
  </si>
  <si>
    <t>L-641</t>
  </si>
  <si>
    <t>N-641</t>
  </si>
  <si>
    <t>M-702</t>
  </si>
  <si>
    <t>O-719</t>
  </si>
  <si>
    <t>PSV-57072</t>
  </si>
  <si>
    <t>N-752</t>
  </si>
  <si>
    <t>N-753</t>
  </si>
  <si>
    <t>PSV-60727</t>
  </si>
  <si>
    <t>PSV-60638A</t>
  </si>
  <si>
    <t>PSV-50955</t>
  </si>
  <si>
    <t>O-593</t>
  </si>
  <si>
    <t>PSV-57010</t>
  </si>
  <si>
    <t>O-637</t>
  </si>
  <si>
    <t>FT-575</t>
  </si>
  <si>
    <t>M-644</t>
  </si>
  <si>
    <t>O-1215A</t>
  </si>
  <si>
    <t>O-1212C</t>
  </si>
  <si>
    <t>O-1212D</t>
  </si>
  <si>
    <t>O-720A</t>
  </si>
  <si>
    <t>O-720B</t>
  </si>
  <si>
    <t>M-504A</t>
  </si>
  <si>
    <t>M-516B</t>
  </si>
  <si>
    <t>M-516A</t>
  </si>
  <si>
    <t>PSV-50120B</t>
  </si>
  <si>
    <t>PSV-50534A</t>
  </si>
  <si>
    <t>PSV-75007</t>
  </si>
  <si>
    <t>PSV-60160B</t>
  </si>
  <si>
    <t>PSV-60686</t>
  </si>
  <si>
    <t>PSV-75012A</t>
  </si>
  <si>
    <t>PSV-75013B</t>
  </si>
  <si>
    <t>PSV-75012B</t>
  </si>
  <si>
    <t>PSV-50703</t>
  </si>
  <si>
    <t>O-760A</t>
  </si>
  <si>
    <t>O-761A</t>
  </si>
  <si>
    <t>O-665B</t>
  </si>
  <si>
    <t>PSV-2313311A</t>
  </si>
  <si>
    <t>O-761B</t>
  </si>
  <si>
    <t>D-573B</t>
  </si>
  <si>
    <t>O-665A</t>
  </si>
  <si>
    <t>O-760B</t>
  </si>
  <si>
    <t>O-663B</t>
  </si>
  <si>
    <t>O-644</t>
  </si>
  <si>
    <t>O-721B</t>
  </si>
  <si>
    <t>O-661A</t>
  </si>
  <si>
    <t>O-661B</t>
  </si>
  <si>
    <t>O-721A</t>
  </si>
  <si>
    <t>O-664B</t>
  </si>
  <si>
    <t>PSV-60383</t>
  </si>
  <si>
    <t>O-664A</t>
  </si>
  <si>
    <t>O-662A</t>
  </si>
  <si>
    <t>O-662B</t>
  </si>
  <si>
    <t>PSV-64030</t>
  </si>
  <si>
    <t>O-660B</t>
  </si>
  <si>
    <t>O-660A</t>
  </si>
  <si>
    <t>PSV-64036A</t>
  </si>
  <si>
    <t>O-645</t>
  </si>
  <si>
    <t>PSV-50764B</t>
  </si>
  <si>
    <t>PSV-50765B</t>
  </si>
  <si>
    <t>PSV-50766B</t>
  </si>
  <si>
    <t>PSV-50975B</t>
  </si>
  <si>
    <t>M-630A</t>
  </si>
  <si>
    <t>O-763A</t>
  </si>
  <si>
    <t>PSV-50170</t>
  </si>
  <si>
    <t>J-0500121A</t>
  </si>
  <si>
    <t>J-0500121B</t>
  </si>
  <si>
    <t>O-550</t>
  </si>
  <si>
    <t>M-0600064</t>
  </si>
  <si>
    <t>PSV-50956</t>
  </si>
  <si>
    <t>PSV-50954</t>
  </si>
  <si>
    <t>PSV-50957</t>
  </si>
  <si>
    <t>O-0700002A</t>
  </si>
  <si>
    <t>O-0700002B</t>
  </si>
  <si>
    <t>PSV-77018</t>
  </si>
  <si>
    <t>PSV-64036B</t>
  </si>
  <si>
    <t>PSV-50106A</t>
  </si>
  <si>
    <t>PSV-50993</t>
  </si>
  <si>
    <t>PSV-50106B</t>
  </si>
  <si>
    <t>O-666C</t>
  </si>
  <si>
    <t>O-666D</t>
  </si>
  <si>
    <t>O-0700001A</t>
  </si>
  <si>
    <t>O-0700001B</t>
  </si>
  <si>
    <t>O-549</t>
  </si>
  <si>
    <t>M-705</t>
  </si>
  <si>
    <t>O-603</t>
  </si>
  <si>
    <t>CC-572</t>
  </si>
  <si>
    <t>M-0640050</t>
  </si>
  <si>
    <t>PSV-57003</t>
  </si>
  <si>
    <t>M-0500105B</t>
  </si>
  <si>
    <t>M-643</t>
  </si>
  <si>
    <t>O-1215B</t>
  </si>
  <si>
    <t>O-534</t>
  </si>
  <si>
    <t>M-760</t>
  </si>
  <si>
    <t>PSV-50026</t>
  </si>
  <si>
    <t>PSV-50762A</t>
  </si>
  <si>
    <t>PSV-50758</t>
  </si>
  <si>
    <t>PSV-50707B</t>
  </si>
  <si>
    <t>PSV-50439</t>
  </si>
  <si>
    <t>PSV-50175</t>
  </si>
  <si>
    <t>PSV-50120A</t>
  </si>
  <si>
    <t>PSV-64011</t>
  </si>
  <si>
    <t>PSV-77047</t>
  </si>
  <si>
    <t>PSV-60035</t>
  </si>
  <si>
    <t>PSV-60747</t>
  </si>
  <si>
    <t>PSV-60706</t>
  </si>
  <si>
    <t>PSV-60627D</t>
  </si>
  <si>
    <t>PSV-60153</t>
  </si>
  <si>
    <t>O-0500055A</t>
  </si>
  <si>
    <t>O-0500059A</t>
  </si>
  <si>
    <t>O-0500055B</t>
  </si>
  <si>
    <t>O-666A</t>
  </si>
  <si>
    <t>O-0500059B</t>
  </si>
  <si>
    <t>O-666B</t>
  </si>
  <si>
    <t>M-533A</t>
  </si>
  <si>
    <t>M-533B</t>
  </si>
  <si>
    <t>PSV-60033</t>
  </si>
  <si>
    <t>M-725</t>
  </si>
  <si>
    <t>CC-571</t>
  </si>
  <si>
    <t>O-663A</t>
  </si>
  <si>
    <t>PSV-50044</t>
  </si>
  <si>
    <t>PSV-50279B</t>
  </si>
  <si>
    <t>PSV-60830</t>
  </si>
  <si>
    <t>PSV-60640A</t>
  </si>
  <si>
    <t>M-529</t>
  </si>
  <si>
    <t>PSV-50762B</t>
  </si>
  <si>
    <t>PSV-57073B</t>
  </si>
  <si>
    <t>D-504M</t>
  </si>
  <si>
    <t>PSV-57007B</t>
  </si>
  <si>
    <t>PRD-57007B</t>
  </si>
  <si>
    <t>PSV-50749</t>
  </si>
  <si>
    <t>PSV-50180A</t>
  </si>
  <si>
    <t>PSV-12008</t>
  </si>
  <si>
    <t>O-1202</t>
  </si>
  <si>
    <t>P-1201</t>
  </si>
  <si>
    <t>PSV-50770</t>
  </si>
  <si>
    <t>O-530</t>
  </si>
  <si>
    <t>M-638</t>
  </si>
  <si>
    <t>M-576</t>
  </si>
  <si>
    <t>M-614D</t>
  </si>
  <si>
    <t>M-614C</t>
  </si>
  <si>
    <t>M-614B</t>
  </si>
  <si>
    <t>M-610</t>
  </si>
  <si>
    <t>M-518A</t>
  </si>
  <si>
    <t>M-0600061</t>
  </si>
  <si>
    <t>M-0600060B</t>
  </si>
  <si>
    <t>P-575</t>
  </si>
  <si>
    <t>P-574</t>
  </si>
  <si>
    <t>O-0600092</t>
  </si>
  <si>
    <t>M-623A</t>
  </si>
  <si>
    <t>M-595B</t>
  </si>
  <si>
    <t>M-594</t>
  </si>
  <si>
    <t>M-591</t>
  </si>
  <si>
    <t>M-573</t>
  </si>
  <si>
    <t>M-534</t>
  </si>
  <si>
    <t>M-531</t>
  </si>
  <si>
    <t>O-710</t>
  </si>
  <si>
    <t>O-682</t>
  </si>
  <si>
    <t>O-619</t>
  </si>
  <si>
    <t>O-582</t>
  </si>
  <si>
    <t>O-581</t>
  </si>
  <si>
    <t>O-552</t>
  </si>
  <si>
    <t>PSV-12033</t>
  </si>
  <si>
    <t>PSV-75008B</t>
  </si>
  <si>
    <t>PSV-75008A</t>
  </si>
  <si>
    <t>PSV-75005B</t>
  </si>
  <si>
    <t>PSV-75005A</t>
  </si>
  <si>
    <t>PSV-75003</t>
  </si>
  <si>
    <t>PSV-75002</t>
  </si>
  <si>
    <t>PSV-75001</t>
  </si>
  <si>
    <t>PSV-70209</t>
  </si>
  <si>
    <t>PSV-70204</t>
  </si>
  <si>
    <t>PSV-50245B</t>
  </si>
  <si>
    <t>O-650</t>
  </si>
  <si>
    <t>N-640</t>
  </si>
  <si>
    <t>M-713</t>
  </si>
  <si>
    <t>O-720D</t>
  </si>
  <si>
    <t>O-720C</t>
  </si>
  <si>
    <t>O-659</t>
  </si>
  <si>
    <t>PSV-70208</t>
  </si>
  <si>
    <t>O-755</t>
  </si>
  <si>
    <t>M-762</t>
  </si>
  <si>
    <t>M-759</t>
  </si>
  <si>
    <t>M-758B</t>
  </si>
  <si>
    <t>M-758A</t>
  </si>
  <si>
    <t>O-756</t>
  </si>
  <si>
    <t>M-624</t>
  </si>
  <si>
    <t>D-573K</t>
  </si>
  <si>
    <t>PSV-50292B</t>
  </si>
  <si>
    <t>PSV-50755</t>
  </si>
  <si>
    <t>O-502</t>
  </si>
  <si>
    <t>M-581A</t>
  </si>
  <si>
    <t>PSV-75013A</t>
  </si>
  <si>
    <t>PSV-57801</t>
  </si>
  <si>
    <t>O-1214A</t>
  </si>
  <si>
    <t>PSV-50125</t>
  </si>
  <si>
    <t>PSV-50128</t>
  </si>
  <si>
    <t>PSV-12344</t>
  </si>
  <si>
    <t>PSV-12343</t>
  </si>
  <si>
    <t>PSV-50245A</t>
  </si>
  <si>
    <t>PSV-50013B</t>
  </si>
  <si>
    <t>PSV-50013C</t>
  </si>
  <si>
    <t>PSV-60381</t>
  </si>
  <si>
    <t>PSV-50763</t>
  </si>
  <si>
    <t>O-0500057A</t>
  </si>
  <si>
    <t>P-0500105B</t>
  </si>
  <si>
    <t>P-0500105A</t>
  </si>
  <si>
    <t>P-0500104B</t>
  </si>
  <si>
    <t>P-0500104A</t>
  </si>
  <si>
    <t>P-0500103B</t>
  </si>
  <si>
    <t>P-0500103A</t>
  </si>
  <si>
    <t>O-0500067B</t>
  </si>
  <si>
    <t>O-0500057B</t>
  </si>
  <si>
    <t>O-2313101A</t>
  </si>
  <si>
    <t>O-2313101B</t>
  </si>
  <si>
    <t>O-0500064B</t>
  </si>
  <si>
    <t>O-1211</t>
  </si>
  <si>
    <t>O-759</t>
  </si>
  <si>
    <t>O-0500064A</t>
  </si>
  <si>
    <t>O-0500067A</t>
  </si>
  <si>
    <t>M-593</t>
  </si>
  <si>
    <t>D-704F</t>
  </si>
  <si>
    <t>M-712</t>
  </si>
  <si>
    <t>M-590</t>
  </si>
  <si>
    <t>M-616</t>
  </si>
  <si>
    <t>M-1200013B</t>
  </si>
  <si>
    <t>FT-1204B</t>
  </si>
  <si>
    <t>FT-1204A</t>
  </si>
  <si>
    <t>D-504B</t>
  </si>
  <si>
    <t>SL-578</t>
  </si>
  <si>
    <t>SL-575</t>
  </si>
  <si>
    <t>SL-574</t>
  </si>
  <si>
    <t>SL-573</t>
  </si>
  <si>
    <t>SL-572</t>
  </si>
  <si>
    <t>STR-013</t>
  </si>
  <si>
    <t>FT-604B</t>
  </si>
  <si>
    <t>FT-604A</t>
  </si>
  <si>
    <t>FT-576</t>
  </si>
  <si>
    <t>FT-571B</t>
  </si>
  <si>
    <t>FT-571A</t>
  </si>
  <si>
    <t>FT-0570006</t>
  </si>
  <si>
    <t>M-629A</t>
  </si>
  <si>
    <t>M-608</t>
  </si>
  <si>
    <t>M-0600062</t>
  </si>
  <si>
    <t>O-594</t>
  </si>
  <si>
    <t>O-588</t>
  </si>
  <si>
    <t>O-518</t>
  </si>
  <si>
    <t>D-507E</t>
  </si>
  <si>
    <t>D-643C</t>
  </si>
  <si>
    <t>D-754A</t>
  </si>
  <si>
    <t>D-754C</t>
  </si>
  <si>
    <t>FT-603C</t>
  </si>
  <si>
    <t>FT-603D</t>
  </si>
  <si>
    <t>O-1212A</t>
  </si>
  <si>
    <t>O-1212B</t>
  </si>
  <si>
    <t>D-753A</t>
  </si>
  <si>
    <t>D-753B</t>
  </si>
  <si>
    <t>D-753C</t>
  </si>
  <si>
    <t>D-755A</t>
  </si>
  <si>
    <t>D-755B</t>
  </si>
  <si>
    <t>M-0500113C</t>
  </si>
  <si>
    <t>M-0500113D</t>
  </si>
  <si>
    <t>M-0750063A</t>
  </si>
  <si>
    <t>O-0500079C</t>
  </si>
  <si>
    <t>O-0500079D</t>
  </si>
  <si>
    <t>O-583</t>
  </si>
  <si>
    <t>M-714</t>
  </si>
  <si>
    <t>M-523</t>
  </si>
  <si>
    <t>M-592A</t>
  </si>
  <si>
    <t>O-587</t>
  </si>
  <si>
    <t>M-757</t>
  </si>
  <si>
    <t>M-761</t>
  </si>
  <si>
    <t>O-758</t>
  </si>
  <si>
    <t>M-645</t>
  </si>
  <si>
    <t>M-595A</t>
  </si>
  <si>
    <t>M-0500102A</t>
  </si>
  <si>
    <t>J-628A</t>
  </si>
  <si>
    <t>M-0500102B</t>
  </si>
  <si>
    <t>M-575B</t>
  </si>
  <si>
    <t>O-0570105</t>
  </si>
  <si>
    <t>M-0500103A</t>
  </si>
  <si>
    <t>M-0500103B</t>
  </si>
  <si>
    <t>O-0500060B</t>
  </si>
  <si>
    <t>P-573</t>
  </si>
  <si>
    <t>PSV-50180B</t>
  </si>
  <si>
    <t>Refinaria</t>
  </si>
  <si>
    <t>Medida</t>
  </si>
  <si>
    <t>Texto da Nota</t>
  </si>
  <si>
    <t>Texto da Medida</t>
  </si>
  <si>
    <t>Cód</t>
  </si>
  <si>
    <t>Data Vencimento</t>
  </si>
  <si>
    <t>Status da Medida</t>
  </si>
  <si>
    <t>S_Sistema</t>
  </si>
  <si>
    <t>S_Usuário</t>
  </si>
  <si>
    <t>Link</t>
  </si>
  <si>
    <t>16243476-1</t>
  </si>
  <si>
    <t>D-800OC-Mudança de traçado de tubulação</t>
  </si>
  <si>
    <t>D-800OC Realizar mudança de traçado</t>
  </si>
  <si>
    <t>03. Falta Assinatura PH</t>
  </si>
  <si>
    <t>MEDA</t>
  </si>
  <si>
    <t>CTEC</t>
  </si>
  <si>
    <t>https://erpweb.petrobras.com.br/sap/bc/gui/sap/its/webgui?sap-system-login-basic_auth=X&amp;sap-client=400&amp;sap-language=P&amp;~transaction=*IW23%20RIWO00-QMNUM=000016243476&amp;~okcode=IHKZ</t>
  </si>
  <si>
    <t>16257243-1</t>
  </si>
  <si>
    <t>DT-NGB-GLP - Pintar e recuperar suporte</t>
  </si>
  <si>
    <t>DT-NGB-GLP Pintar trecho sobre canal</t>
  </si>
  <si>
    <t>https://erpweb.petrobras.com.br/sap/bc/gui/sap/its/webgui?sap-system-login-basic_auth=X&amp;sap-client=400&amp;sap-language=P&amp;~transaction=*IW23%20RIWO00-QMNUM=000016257243&amp;~okcode=IHKZ</t>
  </si>
  <si>
    <t>16257243-2</t>
  </si>
  <si>
    <t>DT-NGB-GLP Pintar trecho frente P-807C</t>
  </si>
  <si>
    <t>16257243-3</t>
  </si>
  <si>
    <t>DT-NGB-GLP Recuperar suporte tombado</t>
  </si>
  <si>
    <t>14930545-1</t>
  </si>
  <si>
    <t>K-301E - Nota de campanha (Acessos)</t>
  </si>
  <si>
    <t>K-301-E/F/G/H - Substituir acessos</t>
  </si>
  <si>
    <t>D</t>
  </si>
  <si>
    <t>06. Aguarda Execução</t>
  </si>
  <si>
    <t>MEDL</t>
  </si>
  <si>
    <t>RECB</t>
  </si>
  <si>
    <t>https://erpweb.petrobras.com.br/sap/bc/gui/sap/its/webgui?sap-system-login-basic_auth=X&amp;sap-client=400&amp;sap-language=P&amp;~transaction=*IW23%20RIWO00-QMNUM=000014930545&amp;~okcode=IHKZ</t>
  </si>
  <si>
    <t>14710544-2</t>
  </si>
  <si>
    <t>M-2313052 - Substituição integral Feixe</t>
  </si>
  <si>
    <t>Feixe M-2313052 - Aquisi. de novo feixe</t>
  </si>
  <si>
    <t>B</t>
  </si>
  <si>
    <t>04. Falta Recebimento pela Operação</t>
  </si>
  <si>
    <t>PH</t>
  </si>
  <si>
    <t>https://erpweb.petrobras.com.br/sap/bc/gui/sap/its/webgui?sap-system-login-basic_auth=X&amp;sap-client=400&amp;sap-language=P&amp;~transaction=*IW23%20RIWO00-QMNUM=000014710544&amp;~okcode=IHKZ</t>
  </si>
  <si>
    <t>15635625-1</t>
  </si>
  <si>
    <t>D-607B Vazamento de vapor V5</t>
  </si>
  <si>
    <t>D-607B - Substituir Trecho</t>
  </si>
  <si>
    <t>C</t>
  </si>
  <si>
    <t>https://erpweb.petrobras.com.br/sap/bc/gui/sap/its/webgui?sap-system-login-basic_auth=X&amp;sap-client=400&amp;sap-language=P&amp;~transaction=*IW23%20RIWO00-QMNUM=000015635625&amp;~okcode=IHKZ</t>
  </si>
  <si>
    <t>14960780-1</t>
  </si>
  <si>
    <t>PSV-70205 - Substituir PSV</t>
  </si>
  <si>
    <t>https://erpweb.petrobras.com.br/sap/bc/gui/sap/its/webgui?sap-system-login-basic_auth=X&amp;sap-client=400&amp;sap-language=P&amp;~transaction=*IW23%20RIWO00-QMNUM=000014960780&amp;~okcode=IHKZ</t>
  </si>
  <si>
    <t>14755596-4</t>
  </si>
  <si>
    <t>D-800P: Limpar C3 e C5 da AV06 e pintar</t>
  </si>
  <si>
    <t>D-800P/Nafta - Desassorear e pintar linh</t>
  </si>
  <si>
    <t>https://erpweb.petrobras.com.br/sap/bc/gui/sap/its/webgui?sap-system-login-basic_auth=X&amp;sap-client=400&amp;sap-language=P&amp;~transaction=*IW23%20RIWO00-QMNUM=000014755596&amp;~okcode=IHKZ</t>
  </si>
  <si>
    <t>15673193-1</t>
  </si>
  <si>
    <t>D-502B Furo linha de topo (trecho morto)</t>
  </si>
  <si>
    <t>D-502B - Instalar reforço</t>
  </si>
  <si>
    <t>https://erpweb.petrobras.com.br/sap/bc/gui/sap/its/webgui?sap-system-login-basic_auth=X&amp;sap-client=400&amp;sap-language=P&amp;~transaction=*IW23%20RIWO00-QMNUM=000015673193&amp;~okcode=IHKZ</t>
  </si>
  <si>
    <t>15673193-2</t>
  </si>
  <si>
    <t>14993071-1</t>
  </si>
  <si>
    <t>PSV-2313460B Substituir válvula</t>
  </si>
  <si>
    <t>https://erpweb.petrobras.com.br/sap/bc/gui/sap/its/webgui?sap-system-login-basic_auth=X&amp;sap-client=400&amp;sap-language=P&amp;~transaction=*IW23%20RIWO00-QMNUM=000014993071&amp;~okcode=IHKZ</t>
  </si>
  <si>
    <t>15681142-1</t>
  </si>
  <si>
    <t>M-529A - Retubagem do feixe</t>
  </si>
  <si>
    <t>M-529A - Retubagem</t>
  </si>
  <si>
    <t>https://erpweb.petrobras.com.br/sap/bc/gui/sap/its/webgui?sap-system-login-basic_auth=X&amp;sap-client=400&amp;sap-language=P&amp;~transaction=*IW23%20RIWO00-QMNUM=000015681142&amp;~okcode=IHKZ</t>
  </si>
  <si>
    <t>15681142-2</t>
  </si>
  <si>
    <t>M-529A - Pintura interna</t>
  </si>
  <si>
    <t>13624394-2</t>
  </si>
  <si>
    <t>O-353B - Manutenção geral</t>
  </si>
  <si>
    <t>O-3253-B - Realizar manutenção geral</t>
  </si>
  <si>
    <t>https://erpweb.petrobras.com.br/sap/bc/gui/sap/its/webgui?sap-system-login-basic_auth=X&amp;sap-client=400&amp;sap-language=P&amp;~transaction=*IW23%20RIWO00-QMNUM=000013624394&amp;~okcode=IHKZ</t>
  </si>
  <si>
    <t>15673193-3</t>
  </si>
  <si>
    <t>15673193-4</t>
  </si>
  <si>
    <t>14795021-2</t>
  </si>
  <si>
    <t>D-607A Instalar Reforço</t>
  </si>
  <si>
    <t>D-607A - Instalar reforço estruturado</t>
  </si>
  <si>
    <t>https://erpweb.petrobras.com.br/sap/bc/gui/sap/its/webgui?sap-system-login-basic_auth=X&amp;sap-client=400&amp;sap-language=P&amp;~transaction=*IW23%20RIWO00-QMNUM=000014795021&amp;~okcode=IHKZ</t>
  </si>
  <si>
    <t>15706290-1</t>
  </si>
  <si>
    <t>D-501D Instalar suportação</t>
  </si>
  <si>
    <t>D-501D instalar suporte</t>
  </si>
  <si>
    <t>https://erpweb.petrobras.com.br/sap/bc/gui/sap/its/webgui?sap-system-login-basic_auth=X&amp;sap-client=400&amp;sap-language=P&amp;~transaction=*IW23%20RIWO00-QMNUM=000015706290&amp;~okcode=IHKZ</t>
  </si>
  <si>
    <t>15709615-1</t>
  </si>
  <si>
    <t>U-570 - Fixar grades de piso - RESP</t>
  </si>
  <si>
    <t>Fixar grade de piso 3° andar</t>
  </si>
  <si>
    <t>https://erpweb.petrobras.com.br/sap/bc/gui/sap/its/webgui?sap-system-login-basic_auth=X&amp;sap-client=400&amp;sap-language=P&amp;~transaction=*IW23%20RIWO00-QMNUM=000015709615&amp;~okcode=IHKZ</t>
  </si>
  <si>
    <t>15709615-2</t>
  </si>
  <si>
    <t>Fixar grade de piso 8° andar</t>
  </si>
  <si>
    <t>15709615-3</t>
  </si>
  <si>
    <t>Reposicionar grade de piso 8° andar</t>
  </si>
  <si>
    <t>16202066-1</t>
  </si>
  <si>
    <t>D-502E Vazamento em linha By Pass</t>
  </si>
  <si>
    <t>D-502E - Instalar reforço</t>
  </si>
  <si>
    <t>RECB ANEX</t>
  </si>
  <si>
    <t>https://erpweb.petrobras.com.br/sap/bc/gui/sap/its/webgui?sap-system-login-basic_auth=X&amp;sap-client=400&amp;sap-language=P&amp;~transaction=*IW23%20RIWO00-QMNUM=000016202066&amp;~okcode=IHKZ</t>
  </si>
  <si>
    <t>15766749-1</t>
  </si>
  <si>
    <t>PRD-57007B - Substituir alojamento</t>
  </si>
  <si>
    <t>PRD-57007B - Adquirir alojamento do PRD</t>
  </si>
  <si>
    <t>07. Aguarda Avaliação pela Inspeção</t>
  </si>
  <si>
    <t>MEDE</t>
  </si>
  <si>
    <t>CMAN</t>
  </si>
  <si>
    <t>https://erpweb.petrobras.com.br/sap/bc/gui/sap/its/webgui?sap-system-login-basic_auth=X&amp;sap-client=400&amp;sap-language=P&amp;~transaction=*IW23%20RIWO00-QMNUM=000015766749&amp;~okcode=IHKZ</t>
  </si>
  <si>
    <t>15082735-1</t>
  </si>
  <si>
    <t>M-617 - Reposicionar placa de dados</t>
  </si>
  <si>
    <t>M-617 - FIxar placa de TAG</t>
  </si>
  <si>
    <t>https://erpweb.petrobras.com.br/sap/bc/gui/sap/its/webgui?sap-system-login-basic_auth=X&amp;sap-client=400&amp;sap-language=P&amp;~transaction=*IW23%20RIWO00-QMNUM=000015082735&amp;~okcode=IHKZ</t>
  </si>
  <si>
    <t>15082735-2</t>
  </si>
  <si>
    <t>15083568-1</t>
  </si>
  <si>
    <t>M-756 Usinagem sedes vedação</t>
  </si>
  <si>
    <t>M-756 - Usinagem nas sedes de vedação</t>
  </si>
  <si>
    <t>https://erpweb.petrobras.com.br/sap/bc/gui/sap/its/webgui?sap-system-login-basic_auth=X&amp;sap-client=400&amp;sap-language=P&amp;~transaction=*IW23%20RIWO00-QMNUM=000015083568&amp;~okcode=IHKZ</t>
  </si>
  <si>
    <t>15083568-2</t>
  </si>
  <si>
    <t>M-756 - Substituir todos os estojos</t>
  </si>
  <si>
    <t>15084597-1</t>
  </si>
  <si>
    <t>N-612 - Graute danificado</t>
  </si>
  <si>
    <t>N-612 - Recompor graute saia x casco</t>
  </si>
  <si>
    <t>https://erpweb.petrobras.com.br/sap/bc/gui/sap/its/webgui?sap-system-login-basic_auth=X&amp;sap-client=400&amp;sap-language=P&amp;~transaction=*IW23%20RIWO00-QMNUM=000015084597&amp;~okcode=IHKZ</t>
  </si>
  <si>
    <t>15089321-1</t>
  </si>
  <si>
    <t>N-1201 - Ajuste fixação contraventamento</t>
  </si>
  <si>
    <t>N-1201 - Ajustar fixação de chicana</t>
  </si>
  <si>
    <t>https://erpweb.petrobras.com.br/sap/bc/gui/sap/its/webgui?sap-system-login-basic_auth=X&amp;sap-client=400&amp;sap-language=P&amp;~transaction=*IW23%20RIWO00-QMNUM=000015089321&amp;~okcode=IHKZ</t>
  </si>
  <si>
    <t>15089337-1</t>
  </si>
  <si>
    <t>N-1202 - Isolamento danificado</t>
  </si>
  <si>
    <t>N-1202 - Recompor isol. térmico casco</t>
  </si>
  <si>
    <t>https://erpweb.petrobras.com.br/sap/bc/gui/sap/its/webgui?sap-system-login-basic_auth=X&amp;sap-client=400&amp;sap-language=P&amp;~transaction=*IW23%20RIWO00-QMNUM=000015089337&amp;~okcode=IHKZ</t>
  </si>
  <si>
    <t>15089337-2</t>
  </si>
  <si>
    <t>N-1202 - Instalar caixas de inspeção ME</t>
  </si>
  <si>
    <t>15089337-3</t>
  </si>
  <si>
    <t>N-1202 - Recompor isol. térmico calota</t>
  </si>
  <si>
    <t>15089378-1</t>
  </si>
  <si>
    <t>N-1202 - Guarda-corpo danificado</t>
  </si>
  <si>
    <t>N-1202 - Recompor guarda corpo danificad</t>
  </si>
  <si>
    <t>https://erpweb.petrobras.com.br/sap/bc/gui/sap/its/webgui?sap-system-login-basic_auth=X&amp;sap-client=400&amp;sap-language=P&amp;~transaction=*IW23%20RIWO00-QMNUM=000015089378&amp;~okcode=IHKZ</t>
  </si>
  <si>
    <t>15090818-10</t>
  </si>
  <si>
    <t>N-1203 - Caldeiraria e Isolam. Alpinismo</t>
  </si>
  <si>
    <t>N-1203 - Remover chicana plataf. 15</t>
  </si>
  <si>
    <t>https://erpweb.petrobras.com.br/sap/bc/gui/sap/its/webgui?sap-system-login-basic_auth=X&amp;sap-client=400&amp;sap-language=P&amp;~transaction=*IW23%20RIWO00-QMNUM=000015090818&amp;~okcode=IHKZ</t>
  </si>
  <si>
    <t>15090818-11</t>
  </si>
  <si>
    <t>N-1203 - Avaliar e remover chicana deter</t>
  </si>
  <si>
    <t>15090818-12</t>
  </si>
  <si>
    <t>N-1203 - Inspecionar suporte tub. plataf</t>
  </si>
  <si>
    <t>15090818-13</t>
  </si>
  <si>
    <t>15090818-14</t>
  </si>
  <si>
    <t>15090818-15</t>
  </si>
  <si>
    <t>15090818-16</t>
  </si>
  <si>
    <t>N-1203 - Inspecionar suporte tubulação</t>
  </si>
  <si>
    <t>15090818-17</t>
  </si>
  <si>
    <t>N-1203 - Recompor Guarda corpo plataf.18</t>
  </si>
  <si>
    <t>15090818-2</t>
  </si>
  <si>
    <t>N-1203 - Recompor isolamento da calota</t>
  </si>
  <si>
    <t>15090818-3</t>
  </si>
  <si>
    <t>N-1203 - Recompor isolamento linha de to</t>
  </si>
  <si>
    <t>15090818-4</t>
  </si>
  <si>
    <t>N-1203 - inspecionar e recompor Isolamen</t>
  </si>
  <si>
    <t>15090818-5</t>
  </si>
  <si>
    <t>N-1203 - Remover isolamento para inspeçã</t>
  </si>
  <si>
    <t>15090818-6</t>
  </si>
  <si>
    <t>N-1203 - Remover isolamento clips</t>
  </si>
  <si>
    <t>15090818-7</t>
  </si>
  <si>
    <t>N-1203 - Remover isolamento caixas ME</t>
  </si>
  <si>
    <t>15090818-8</t>
  </si>
  <si>
    <t>N-1203 - Remover chicana plataf. 13</t>
  </si>
  <si>
    <t>15090818-9</t>
  </si>
  <si>
    <t>N-1203 - Remover chicana plataf. 14</t>
  </si>
  <si>
    <t>TQC</t>
  </si>
  <si>
    <t>16248642-1</t>
  </si>
  <si>
    <t>P-805C - Realizar reparo na pintura teto</t>
  </si>
  <si>
    <t>https://erpweb.petrobras.com.br/sap/bc/gui/sap/its/webgui?sap-system-login-basic_auth=X&amp;sap-client=400&amp;sap-language=P&amp;~transaction=*IW23%20RIWO00-QMNUM=000016248642&amp;~okcode=IHKZ</t>
  </si>
  <si>
    <t>15789267-1</t>
  </si>
  <si>
    <t>https://erpweb.petrobras.com.br/sap/bc/gui/sap/its/webgui?sap-system-login-basic_auth=X&amp;sap-client=400&amp;sap-language=P&amp;~transaction=*IW23%20RIWO00-QMNUM=000015789267&amp;~okcode=IHKZ</t>
  </si>
  <si>
    <t>15096067-1</t>
  </si>
  <si>
    <t>D-608 (O-620 tub) Pintura deteriorada</t>
  </si>
  <si>
    <t>D-608: Pintar linha 6"-GC-0600-0001-3</t>
  </si>
  <si>
    <t>https://erpweb.petrobras.com.br/sap/bc/gui/sap/its/webgui?sap-system-login-basic_auth=X&amp;sap-client=400&amp;sap-language=P&amp;~transaction=*IW23%20RIWO00-QMNUM=000015096067&amp;~okcode=IHKZ</t>
  </si>
  <si>
    <t>15102169-1</t>
  </si>
  <si>
    <t>N-503 - Isolamento danificado</t>
  </si>
  <si>
    <t>N-503 - Recompor isolamento térmico</t>
  </si>
  <si>
    <t>https://erpweb.petrobras.com.br/sap/bc/gui/sap/its/webgui?sap-system-login-basic_auth=X&amp;sap-client=400&amp;sap-language=P&amp;~transaction=*IW23%20RIWO00-QMNUM=000015102169&amp;~okcode=IHKZ</t>
  </si>
  <si>
    <t>15102171-1</t>
  </si>
  <si>
    <t>N-606 - Reparos de complementar</t>
  </si>
  <si>
    <t>N-606 - Recompor danos no graute</t>
  </si>
  <si>
    <t>https://erpweb.petrobras.com.br/sap/bc/gui/sap/its/webgui?sap-system-login-basic_auth=X&amp;sap-client=400&amp;sap-language=P&amp;~transaction=*IW23%20RIWO00-QMNUM=000015102171&amp;~okcode=IHKZ</t>
  </si>
  <si>
    <t>15102171-2</t>
  </si>
  <si>
    <t>N-606 - Recompor trincas no fireproof</t>
  </si>
  <si>
    <t>15102171-3</t>
  </si>
  <si>
    <t>N-606 - Recompor isolamento térmico</t>
  </si>
  <si>
    <t>15809044-1</t>
  </si>
  <si>
    <t>L-571 - Recompor e fixar tela d proteção</t>
  </si>
  <si>
    <t>L-571 - Recompor telas de proteção</t>
  </si>
  <si>
    <t>https://erpweb.petrobras.com.br/sap/bc/gui/sap/its/webgui?sap-system-login-basic_auth=X&amp;sap-client=400&amp;sap-language=P&amp;~transaction=*IW23%20RIWO00-QMNUM=000015809044&amp;~okcode=IHKZ</t>
  </si>
  <si>
    <t>15809044-2</t>
  </si>
  <si>
    <t>L-571 - Fixar telas de proteção</t>
  </si>
  <si>
    <t>15141185-1</t>
  </si>
  <si>
    <t>N-2316003 - Isolamento térmico</t>
  </si>
  <si>
    <t>N-2316003 - Reconstituir isolamento</t>
  </si>
  <si>
    <t>https://erpweb.petrobras.com.br/sap/bc/gui/sap/its/webgui?sap-system-login-basic_auth=X&amp;sap-client=400&amp;sap-language=P&amp;~transaction=*IW23%20RIWO00-QMNUM=000015141185&amp;~okcode=IHKZ</t>
  </si>
  <si>
    <t>15141185-2</t>
  </si>
  <si>
    <t>N-2316003 - Limpeza no interno da SAIA</t>
  </si>
  <si>
    <t>15142132-1</t>
  </si>
  <si>
    <t>N-506 - Reconstituir isolamento</t>
  </si>
  <si>
    <t>https://erpweb.petrobras.com.br/sap/bc/gui/sap/its/webgui?sap-system-login-basic_auth=X&amp;sap-client=400&amp;sap-language=P&amp;~transaction=*IW23%20RIWO00-QMNUM=000015142132&amp;~okcode=IHKZ</t>
  </si>
  <si>
    <t>15142132-2</t>
  </si>
  <si>
    <t>N-506 - Limpeza nas plataformas da torre</t>
  </si>
  <si>
    <t>15837047-1</t>
  </si>
  <si>
    <t>D-501N Substituir TPD-007 amostrador</t>
  </si>
  <si>
    <t>D-501N - Substituir linha</t>
  </si>
  <si>
    <t>https://erpweb.petrobras.com.br/sap/bc/gui/sap/its/webgui?sap-system-login-basic_auth=X&amp;sap-client=400&amp;sap-language=P&amp;~transaction=*IW23%20RIWO00-QMNUM=000015837047&amp;~okcode=IHKZ</t>
  </si>
  <si>
    <t>13738068-2</t>
  </si>
  <si>
    <t>SPC-NGB - Pintura geral do retificador</t>
  </si>
  <si>
    <t>SPC-NGB - Pntura geral do retificador</t>
  </si>
  <si>
    <t>https://erpweb.petrobras.com.br/sap/bc/gui/sap/its/webgui?sap-system-login-basic_auth=X&amp;sap-client=400&amp;sap-language=P&amp;~transaction=*IW23%20RIWO00-QMNUM=000013738068&amp;~okcode=IHKZ</t>
  </si>
  <si>
    <t>15163151-1</t>
  </si>
  <si>
    <t>D-800-PP - Pintar linha saída P-836</t>
  </si>
  <si>
    <t>D-800PP - Pintar linha de saída P-836</t>
  </si>
  <si>
    <t>https://erpweb.petrobras.com.br/sap/bc/gui/sap/its/webgui?sap-system-login-basic_auth=X&amp;sap-client=400&amp;sap-language=P&amp;~transaction=*IW23%20RIWO00-QMNUM=000015163151&amp;~okcode=IHKZ</t>
  </si>
  <si>
    <t>15886662-1</t>
  </si>
  <si>
    <t>D-1204 Substituir trecho desc. J-1206B</t>
  </si>
  <si>
    <t>D-1204 - Substituir trecho</t>
  </si>
  <si>
    <t>https://erpweb.petrobras.com.br/sap/bc/gui/sap/its/webgui?sap-system-login-basic_auth=X&amp;sap-client=400&amp;sap-language=P&amp;~transaction=*IW23%20RIWO00-QMNUM=000015886662&amp;~okcode=IHKZ</t>
  </si>
  <si>
    <t>15902464-1</t>
  </si>
  <si>
    <t>D-501L Substituir linha amost. Diesel</t>
  </si>
  <si>
    <t>D-501L - Substituir linha</t>
  </si>
  <si>
    <t>https://erpweb.petrobras.com.br/sap/bc/gui/sap/its/webgui?sap-system-login-basic_auth=X&amp;sap-client=400&amp;sap-language=P&amp;~transaction=*IW23%20RIWO00-QMNUM=000015902464&amp;~okcode=IHKZ</t>
  </si>
  <si>
    <t>15905766-1</t>
  </si>
  <si>
    <t>M-530A - Retubagem do feixe</t>
  </si>
  <si>
    <t>M-530A - Retubar feixe</t>
  </si>
  <si>
    <t>https://erpweb.petrobras.com.br/sap/bc/gui/sap/its/webgui?sap-system-login-basic_auth=X&amp;sap-client=400&amp;sap-language=P&amp;~transaction=*IW23%20RIWO00-QMNUM=000015905766&amp;~okcode=IHKZ</t>
  </si>
  <si>
    <t>ELE</t>
  </si>
  <si>
    <t>15210902-1</t>
  </si>
  <si>
    <t>DT-CIAS-GLP: danos em eletrodutos</t>
  </si>
  <si>
    <t>DT-CIAS-GLP: eletrodutos danificados</t>
  </si>
  <si>
    <t>https://erpweb.petrobras.com.br/sap/bc/gui/sap/its/webgui?sap-system-login-basic_auth=X&amp;sap-client=400&amp;sap-language=P&amp;~transaction=*IW23%20RIWO00-QMNUM=000015210902&amp;~okcode=IHKZ</t>
  </si>
  <si>
    <t>15221097-1</t>
  </si>
  <si>
    <t>M-504A Pintura do equipamento</t>
  </si>
  <si>
    <t>M-504A- Pintura geral do equipamento</t>
  </si>
  <si>
    <t>https://erpweb.petrobras.com.br/sap/bc/gui/sap/its/webgui?sap-system-login-basic_auth=X&amp;sap-client=400&amp;sap-language=P&amp;~transaction=*IW23%20RIWO00-QMNUM=000015221097&amp;~okcode=IHKZ</t>
  </si>
  <si>
    <t>15221097-2</t>
  </si>
  <si>
    <t>M-504A - Pintura de TAG e CATEGORIA</t>
  </si>
  <si>
    <t>15221318-1</t>
  </si>
  <si>
    <t>M-516A- Pintura geral do equipamento</t>
  </si>
  <si>
    <t>M-516A Pintura geral do equipamento</t>
  </si>
  <si>
    <t>https://erpweb.petrobras.com.br/sap/bc/gui/sap/its/webgui?sap-system-login-basic_auth=X&amp;sap-client=400&amp;sap-language=P&amp;~transaction=*IW23%20RIWO00-QMNUM=000015221318&amp;~okcode=IHKZ</t>
  </si>
  <si>
    <t>15221318-2</t>
  </si>
  <si>
    <t>M-516A Pintura de TAG e CATEGORIA</t>
  </si>
  <si>
    <t>15227087-1</t>
  </si>
  <si>
    <t>M-2311001 - Substituir Placa NR-13</t>
  </si>
  <si>
    <t>https://erpweb.petrobras.com.br/sap/bc/gui/sap/its/webgui?sap-system-login-basic_auth=X&amp;sap-client=400&amp;sap-language=P&amp;~transaction=*IW23%20RIWO00-QMNUM=000015227087&amp;~okcode=IHKZ</t>
  </si>
  <si>
    <t>15228281-1</t>
  </si>
  <si>
    <t>SPC-CIAS - Pintura flanges</t>
  </si>
  <si>
    <t>SPC-CIAS - Pintura ligações flangeadas</t>
  </si>
  <si>
    <t>02. Falta Conclusão Técnico IE</t>
  </si>
  <si>
    <t>INIT</t>
  </si>
  <si>
    <t>https://erpweb.petrobras.com.br/sap/bc/gui/sap/its/webgui?sap-system-login-basic_auth=X&amp;sap-client=400&amp;sap-language=P&amp;~transaction=*IW23%20RIWO00-QMNUM=000015228281&amp;~okcode=IHKZ</t>
  </si>
  <si>
    <t>15228285-1</t>
  </si>
  <si>
    <t>SPC-NGB - Recompor leito anodos</t>
  </si>
  <si>
    <t>SPC-NGB - Recompor marco leito ânodos</t>
  </si>
  <si>
    <t>https://erpweb.petrobras.com.br/sap/bc/gui/sap/its/webgui?sap-system-login-basic_auth=X&amp;sap-client=400&amp;sap-language=P&amp;~transaction=*IW23%20RIWO00-QMNUM=000015228285&amp;~okcode=IHKZ</t>
  </si>
  <si>
    <t>15228538-1</t>
  </si>
  <si>
    <t>SPC-NGB - Pintura pontos teste e flanges</t>
  </si>
  <si>
    <t>SPC-NGB: Pintura pontos de testes</t>
  </si>
  <si>
    <t>https://erpweb.petrobras.com.br/sap/bc/gui/sap/its/webgui?sap-system-login-basic_auth=X&amp;sap-client=400&amp;sap-language=P&amp;~transaction=*IW23%20RIWO00-QMNUM=000015228538&amp;~okcode=IHKZ</t>
  </si>
  <si>
    <t>15228538-2</t>
  </si>
  <si>
    <t>SPC-NGB: Pintura ligação flangeada</t>
  </si>
  <si>
    <t>15228540-1</t>
  </si>
  <si>
    <t>SPC-NGB - Reparar solda cabo x duto</t>
  </si>
  <si>
    <t>SPC-NGB: Reparar solda cabo retificador</t>
  </si>
  <si>
    <t>https://erpweb.petrobras.com.br/sap/bc/gui/sap/its/webgui?sap-system-login-basic_auth=X&amp;sap-client=400&amp;sap-language=P&amp;~transaction=*IW23%20RIWO00-QMNUM=000015228540&amp;~okcode=IHKZ</t>
  </si>
  <si>
    <t>15228541-1</t>
  </si>
  <si>
    <t>SPC-POL: Realizar pintura pontos teste</t>
  </si>
  <si>
    <t>SPC-POL: Pintar pontos de teste</t>
  </si>
  <si>
    <t>https://erpweb.petrobras.com.br/sap/bc/gui/sap/its/webgui?sap-system-login-basic_auth=X&amp;sap-client=400&amp;sap-language=P&amp;~transaction=*IW23%20RIWO00-QMNUM=000015228541&amp;~okcode=IHKZ</t>
  </si>
  <si>
    <t>15245492-1</t>
  </si>
  <si>
    <t>M-704 Realizar Pintura externa</t>
  </si>
  <si>
    <t>M-704 - Realizar pintura externa</t>
  </si>
  <si>
    <t>https://erpweb.petrobras.com.br/sap/bc/gui/sap/its/webgui?sap-system-login-basic_auth=X&amp;sap-client=400&amp;sap-language=P&amp;~transaction=*IW23%20RIWO00-QMNUM=000015245492&amp;~okcode=IHKZ</t>
  </si>
  <si>
    <t>15245976-1</t>
  </si>
  <si>
    <t>O-1213A - Limpeza externa</t>
  </si>
  <si>
    <t>O-1213A - Limpeza do casco</t>
  </si>
  <si>
    <t>https://erpweb.petrobras.com.br/sap/bc/gui/sap/its/webgui?sap-system-login-basic_auth=X&amp;sap-client=400&amp;sap-language=P&amp;~transaction=*IW23%20RIWO00-QMNUM=000015245976&amp;~okcode=IHKZ</t>
  </si>
  <si>
    <t>15958067-1</t>
  </si>
  <si>
    <t>D-502D Vazamento poro em solda</t>
  </si>
  <si>
    <t>D-502D - Instalar reforço ou rep. solda</t>
  </si>
  <si>
    <t>https://erpweb.petrobras.com.br/sap/bc/gui/sap/its/webgui?sap-system-login-basic_auth=X&amp;sap-client=400&amp;sap-language=P&amp;~transaction=*IW23%20RIWO00-QMNUM=000015958067&amp;~okcode=IHKZ</t>
  </si>
  <si>
    <t>15971770-1</t>
  </si>
  <si>
    <t>D-400C30 Vazamento curva pipe rack</t>
  </si>
  <si>
    <t>D-400C30 - Substituir trecho</t>
  </si>
  <si>
    <t>https://erpweb.petrobras.com.br/sap/bc/gui/sap/its/webgui?sap-system-login-basic_auth=X&amp;sap-client=400&amp;sap-language=P&amp;~transaction=*IW23%20RIWO00-QMNUM=000015971770&amp;~okcode=IHKZ</t>
  </si>
  <si>
    <t>13862435-2</t>
  </si>
  <si>
    <t>D-753A Inspecionar vávlulas + pintura</t>
  </si>
  <si>
    <t>D-753A Substituição de valvulas</t>
  </si>
  <si>
    <t>https://erpweb.petrobras.com.br/sap/bc/gui/sap/its/webgui?sap-system-login-basic_auth=X&amp;sap-client=400&amp;sap-language=P&amp;~transaction=*IW23%20RIWO00-QMNUM=000013862435&amp;~okcode=IHKZ</t>
  </si>
  <si>
    <t>13861282-4</t>
  </si>
  <si>
    <t>D-800GL - Remover isolamento e pintar</t>
  </si>
  <si>
    <t>D-800GL- PINTAR LINHAS</t>
  </si>
  <si>
    <t>https://erpweb.petrobras.com.br/sap/bc/gui/sap/its/webgui?sap-system-login-basic_auth=X&amp;sap-client=400&amp;sap-language=P&amp;~transaction=*IW23%20RIWO00-QMNUM=000013861282&amp;~okcode=IHKZ</t>
  </si>
  <si>
    <t>13919982-2</t>
  </si>
  <si>
    <t>D-604B  Substituir válvula</t>
  </si>
  <si>
    <t>D-604B susbtituir válvula.</t>
  </si>
  <si>
    <t>https://erpweb.petrobras.com.br/sap/bc/gui/sap/its/webgui?sap-system-login-basic_auth=X&amp;sap-client=400&amp;sap-language=P&amp;~transaction=*IW23%20RIWO00-QMNUM=000013919982&amp;~okcode=IHKZ</t>
  </si>
  <si>
    <t>15354378-1</t>
  </si>
  <si>
    <t>D-900RACE(H-176) - Vazamento válv x tubo</t>
  </si>
  <si>
    <t>RACE(H-176) - Reparar ligação valvula</t>
  </si>
  <si>
    <t>https://erpweb.petrobras.com.br/sap/bc/gui/sap/its/webgui?sap-system-login-basic_auth=X&amp;sap-client=400&amp;sap-language=P&amp;~transaction=*IW23%20RIWO00-QMNUM=000015354378&amp;~okcode=IHKZ</t>
  </si>
  <si>
    <t>16093090-1</t>
  </si>
  <si>
    <t>GV-6301 - Prover acesso seguro</t>
  </si>
  <si>
    <t>GV-6301 - Instalar guarda corpo</t>
  </si>
  <si>
    <t>https://erpweb.petrobras.com.br/sap/bc/gui/sap/its/webgui?sap-system-login-basic_auth=X&amp;sap-client=400&amp;sap-language=P&amp;~transaction=*IW23%20RIWO00-QMNUM=000016093090&amp;~okcode=IHKZ</t>
  </si>
  <si>
    <t>16093240-1</t>
  </si>
  <si>
    <t>GV-6302 - Prover acesso seguro</t>
  </si>
  <si>
    <t>GV-6302 - Instalar guarda corpo</t>
  </si>
  <si>
    <t>https://erpweb.petrobras.com.br/sap/bc/gui/sap/its/webgui?sap-system-login-basic_auth=X&amp;sap-client=400&amp;sap-language=P&amp;~transaction=*IW23%20RIWO00-QMNUM=000016093240&amp;~okcode=IHKZ</t>
  </si>
  <si>
    <t>16093393-1</t>
  </si>
  <si>
    <t>K-2225001A/B/C - Subsituição de Placa</t>
  </si>
  <si>
    <t>K-2225001A/B/C Substituir Placa de Dados</t>
  </si>
  <si>
    <t>https://erpweb.petrobras.com.br/sap/bc/gui/sap/its/webgui?sap-system-login-basic_auth=X&amp;sap-client=400&amp;sap-language=P&amp;~transaction=*IW23%20RIWO00-QMNUM=000016093393&amp;~okcode=IHKZ</t>
  </si>
  <si>
    <t>16093396-1</t>
  </si>
  <si>
    <t>M-2225008 - Instalação de Placa</t>
  </si>
  <si>
    <t>https://erpweb.petrobras.com.br/sap/bc/gui/sap/its/webgui?sap-system-login-basic_auth=X&amp;sap-client=400&amp;sap-language=P&amp;~transaction=*IW23%20RIWO00-QMNUM=000016093396&amp;~okcode=IHKZ</t>
  </si>
  <si>
    <t>16098165-1</t>
  </si>
  <si>
    <t>P-807B - Reparo a frio no teto</t>
  </si>
  <si>
    <t>P-807B Realizar reparo a frio no teto</t>
  </si>
  <si>
    <t>https://erpweb.petrobras.com.br/sap/bc/gui/sap/its/webgui?sap-system-login-basic_auth=X&amp;sap-client=400&amp;sap-language=P&amp;~transaction=*IW23%20RIWO00-QMNUM=000016098165&amp;~okcode=IHKZ</t>
  </si>
  <si>
    <t>16115196-1</t>
  </si>
  <si>
    <t>N-506 Instalar correntes e guarda-corpos</t>
  </si>
  <si>
    <t>N-506 Reinstalar correntes de segurança</t>
  </si>
  <si>
    <t>https://erpweb.petrobras.com.br/sap/bc/gui/sap/its/webgui?sap-system-login-basic_auth=X&amp;sap-client=400&amp;sap-language=P&amp;~transaction=*IW23%20RIWO00-QMNUM=000016115196&amp;~okcode=IHKZ</t>
  </si>
  <si>
    <t>16115196-2</t>
  </si>
  <si>
    <t>N-506 Instalar guarda-corpos adicionais</t>
  </si>
  <si>
    <t>16117177-1</t>
  </si>
  <si>
    <t>O-634 - Instalar corrente topo de escada</t>
  </si>
  <si>
    <t>O-634 - Instalar correntes escada marinh</t>
  </si>
  <si>
    <t>https://erpweb.petrobras.com.br/sap/bc/gui/sap/its/webgui?sap-system-login-basic_auth=X&amp;sap-client=400&amp;sap-language=P&amp;~transaction=*IW23%20RIWO00-QMNUM=000016117177&amp;~okcode=IHKZ</t>
  </si>
  <si>
    <t>16117359-1</t>
  </si>
  <si>
    <t>O-620 - Instalar corrente topo de escada</t>
  </si>
  <si>
    <t>O-620 - Reparar corrente escada marinhei</t>
  </si>
  <si>
    <t>https://erpweb.petrobras.com.br/sap/bc/gui/sap/its/webgui?sap-system-login-basic_auth=X&amp;sap-client=400&amp;sap-language=P&amp;~transaction=*IW23%20RIWO00-QMNUM=000016117359&amp;~okcode=IHKZ</t>
  </si>
  <si>
    <t>16117360-1</t>
  </si>
  <si>
    <t>O-635 - Substituir corrente topo escada</t>
  </si>
  <si>
    <t>O-635 - Substituir corrente escada marin</t>
  </si>
  <si>
    <t>https://erpweb.petrobras.com.br/sap/bc/gui/sap/its/webgui?sap-system-login-basic_auth=X&amp;sap-client=400&amp;sap-language=P&amp;~transaction=*IW23%20RIWO00-QMNUM=000016117360&amp;~okcode=IHKZ</t>
  </si>
  <si>
    <t>15427260-1</t>
  </si>
  <si>
    <t>D-800-INT-837B - Tinta isolante</t>
  </si>
  <si>
    <t>D-800-INT-837B: Aplicar tinta isolante</t>
  </si>
  <si>
    <t>https://erpweb.petrobras.com.br/sap/bc/gui/sap/its/webgui?sap-system-login-basic_auth=X&amp;sap-client=400&amp;sap-language=P&amp;~transaction=*IW23%20RIWO00-QMNUM=000015427260&amp;~okcode=IHKZ</t>
  </si>
  <si>
    <t>15427264-1</t>
  </si>
  <si>
    <t>RACE (P-837B) - Escavar e Pintar</t>
  </si>
  <si>
    <t>D-900-RACE: Escavar e Pintar (P-837B)</t>
  </si>
  <si>
    <t>https://erpweb.petrobras.com.br/sap/bc/gui/sap/its/webgui?sap-system-login-basic_auth=X&amp;sap-client=400&amp;sap-language=P&amp;~transaction=*IW23%20RIWO00-QMNUM=000015427264&amp;~okcode=IHKZ</t>
  </si>
  <si>
    <t>15430279-1</t>
  </si>
  <si>
    <t>O-664A - Pintura de TAG e Categoria.</t>
  </si>
  <si>
    <t>O-664A - Realizar pintura de TAG e CAT</t>
  </si>
  <si>
    <t>https://erpweb.petrobras.com.br/sap/bc/gui/sap/its/webgui?sap-system-login-basic_auth=X&amp;sap-client=400&amp;sap-language=P&amp;~transaction=*IW23%20RIWO00-QMNUM=000015430279&amp;~okcode=IHKZ</t>
  </si>
  <si>
    <t>16141419-1</t>
  </si>
  <si>
    <t>D-502B Subst linhas injeção inibidor</t>
  </si>
  <si>
    <t>D-502B - Substituir linhas</t>
  </si>
  <si>
    <t>https://erpweb.petrobras.com.br/sap/bc/gui/sap/its/webgui?sap-system-login-basic_auth=X&amp;sap-client=400&amp;sap-language=P&amp;~transaction=*IW23%20RIWO00-QMNUM=000016141419&amp;~okcode=IHKZ</t>
  </si>
  <si>
    <t>15441812-1</t>
  </si>
  <si>
    <t>DT-PQU-HLR - Pintura da linha</t>
  </si>
  <si>
    <t>DT-PQU-HLR- Pintura Geral</t>
  </si>
  <si>
    <t>https://erpweb.petrobras.com.br/sap/bc/gui/sap/its/webgui?sap-system-login-basic_auth=X&amp;sap-client=400&amp;sap-language=P&amp;~transaction=*IW23%20RIWO00-QMNUM=000015441812&amp;~okcode=IHKZ</t>
  </si>
  <si>
    <t>15441812-2</t>
  </si>
  <si>
    <t>DT-PQU-HLR- Realizar identificação</t>
  </si>
  <si>
    <t>16152947-1</t>
  </si>
  <si>
    <t>K-573 - Isolar carreteis PSV's</t>
  </si>
  <si>
    <t>https://erpweb.petrobras.com.br/sap/bc/gui/sap/its/webgui?sap-system-login-basic_auth=X&amp;sap-client=400&amp;sap-language=P&amp;~transaction=*IW23%20RIWO00-QMNUM=000016152947&amp;~okcode=IHKZ</t>
  </si>
  <si>
    <t>16161509-1</t>
  </si>
  <si>
    <t>D-501A-Instalar calhas e subst. estojos</t>
  </si>
  <si>
    <t>D-501A - Sobrepor chapas em calha</t>
  </si>
  <si>
    <t>https://erpweb.petrobras.com.br/sap/bc/gui/sap/its/webgui?sap-system-login-basic_auth=X&amp;sap-client=400&amp;sap-language=P&amp;~transaction=*IW23%20RIWO00-QMNUM=000016161509&amp;~okcode=IHKZ</t>
  </si>
  <si>
    <t>16161509-2</t>
  </si>
  <si>
    <t>D-501A - Substituir conjuntos estojos</t>
  </si>
  <si>
    <t>15459123-1</t>
  </si>
  <si>
    <t>DT-CIAS-GLP: Limpeza e pintura de linhas</t>
  </si>
  <si>
    <t>DT-CIAS-GLP: limpeza C08-AV8</t>
  </si>
  <si>
    <t>https://erpweb.petrobras.com.br/sap/bc/gui/sap/its/webgui?sap-system-login-basic_auth=X&amp;sap-client=400&amp;sap-language=P&amp;~transaction=*IW23%20RIWO00-QMNUM=000015459123&amp;~okcode=IHKZ</t>
  </si>
  <si>
    <t>15459123-2</t>
  </si>
  <si>
    <t>DT-CIAS-GLP: Pintar TAG 6"-GL-8-1006-Cb</t>
  </si>
  <si>
    <t>15459123-3</t>
  </si>
  <si>
    <t>DT-CIAS-GLP: Pintar linha O-1109-8-8"-4</t>
  </si>
  <si>
    <t>15459123-4</t>
  </si>
  <si>
    <t>DT-CIAS-GLP: Pintar linha O-1076-8-6"-4</t>
  </si>
  <si>
    <t>15459123-5</t>
  </si>
  <si>
    <t>DT-CIAS-GLP: Pintar linha 8"-HC-450003-C</t>
  </si>
  <si>
    <t>15459123-6</t>
  </si>
  <si>
    <t>DT-CIAS-GLP: Pintar TAG 6"-HC-0800-1017</t>
  </si>
  <si>
    <t>15459124-1</t>
  </si>
  <si>
    <t>SPC-POL - Substituir elemento isolante</t>
  </si>
  <si>
    <t>SPC-POL - Substituir cartucho isolante</t>
  </si>
  <si>
    <t>https://erpweb.petrobras.com.br/sap/bc/gui/sap/its/webgui?sap-system-login-basic_auth=X&amp;sap-client=400&amp;sap-language=P&amp;~transaction=*IW23%20RIWO00-QMNUM=000015459124&amp;~okcode=IHKZ</t>
  </si>
  <si>
    <t>15459126-1</t>
  </si>
  <si>
    <t>SPC-NGB - Substituir elemento isolante</t>
  </si>
  <si>
    <t>SPC-CIAS - Substituir cartucho isolante</t>
  </si>
  <si>
    <t>https://erpweb.petrobras.com.br/sap/bc/gui/sap/its/webgui?sap-system-login-basic_auth=X&amp;sap-client=400&amp;sap-language=P&amp;~transaction=*IW23%20RIWO00-QMNUM=000015459126&amp;~okcode=IHKZ</t>
  </si>
  <si>
    <t>15459127-1</t>
  </si>
  <si>
    <t>SPC-CIAS - Realizar by pass da junta iso</t>
  </si>
  <si>
    <t>SPC-CIAS - By pass na junta isolamento</t>
  </si>
  <si>
    <t>https://erpweb.petrobras.com.br/sap/bc/gui/sap/its/webgui?sap-system-login-basic_auth=X&amp;sap-client=400&amp;sap-language=P&amp;~transaction=*IW23%20RIWO00-QMNUM=000015459127&amp;~okcode=IHKZ</t>
  </si>
  <si>
    <t>15459948-1</t>
  </si>
  <si>
    <t>SPC-CIAS - Substituir cartuchos isolante</t>
  </si>
  <si>
    <t>https://erpweb.petrobras.com.br/sap/bc/gui/sap/its/webgui?sap-system-login-basic_auth=X&amp;sap-client=400&amp;sap-language=P&amp;~transaction=*IW23%20RIWO00-QMNUM=000015459948&amp;~okcode=IHKZ</t>
  </si>
  <si>
    <t>15459949-1</t>
  </si>
  <si>
    <t>DT-CIAS-GLP - Reparos gerais</t>
  </si>
  <si>
    <t>DT-CIAS-GLP - Reparos ao longo do muro</t>
  </si>
  <si>
    <t>https://erpweb.petrobras.com.br/sap/bc/gui/sap/its/webgui?sap-system-login-basic_auth=X&amp;sap-client=400&amp;sap-language=P&amp;~transaction=*IW23%20RIWO00-QMNUM=000015459949&amp;~okcode=IHKZ</t>
  </si>
  <si>
    <t>15459950-1</t>
  </si>
  <si>
    <t>D-800N2: pintura deteriorada</t>
  </si>
  <si>
    <t>D-800N2: Pintura de linha</t>
  </si>
  <si>
    <t>https://erpweb.petrobras.com.br/sap/bc/gui/sap/its/webgui?sap-system-login-basic_auth=X&amp;sap-client=400&amp;sap-language=P&amp;~transaction=*IW23%20RIWO00-QMNUM=000015459950&amp;~okcode=IHKZ</t>
  </si>
  <si>
    <t>15464800-1</t>
  </si>
  <si>
    <t>M-602 - TAG e Categoria apagados</t>
  </si>
  <si>
    <t>M-602 - Pintar TAG e Categoria NR-13</t>
  </si>
  <si>
    <t>https://erpweb.petrobras.com.br/sap/bc/gui/sap/its/webgui?sap-system-login-basic_auth=X&amp;sap-client=400&amp;sap-language=P&amp;~transaction=*IW23%20RIWO00-QMNUM=000015464800&amp;~okcode=IHKZ</t>
  </si>
  <si>
    <t>15473217-1</t>
  </si>
  <si>
    <t>O-5121003A: Pintura + Recup. chumbadores</t>
  </si>
  <si>
    <t>O-5121003A: Recuperação dos chumbadores</t>
  </si>
  <si>
    <t>https://erpweb.petrobras.com.br/sap/bc/gui/sap/its/webgui?sap-system-login-basic_auth=X&amp;sap-client=400&amp;sap-language=P&amp;~transaction=*IW23%20RIWO00-QMNUM=000015473217&amp;~okcode=IHKZ</t>
  </si>
  <si>
    <t>15473217-2</t>
  </si>
  <si>
    <t>O-5121003A: Pintura do turco</t>
  </si>
  <si>
    <t>15473217-3</t>
  </si>
  <si>
    <t>O-5121003A: Pintura de TAG/Categoria</t>
  </si>
  <si>
    <t>15473538-1</t>
  </si>
  <si>
    <t>O-5121003B: Pintura + Recup. chumbadores</t>
  </si>
  <si>
    <t>O-5121003B: Recuperação dos chumbadores</t>
  </si>
  <si>
    <t>https://erpweb.petrobras.com.br/sap/bc/gui/sap/its/webgui?sap-system-login-basic_auth=X&amp;sap-client=400&amp;sap-language=P&amp;~transaction=*IW23%20RIWO00-QMNUM=000015473538&amp;~okcode=IHKZ</t>
  </si>
  <si>
    <t>15473538-2</t>
  </si>
  <si>
    <t>O-5121003B: Pintura do turco</t>
  </si>
  <si>
    <t>15473538-3</t>
  </si>
  <si>
    <t>O-5121003B: Pintura de TAG/Categoria</t>
  </si>
  <si>
    <t>15473539-1</t>
  </si>
  <si>
    <t>O-5121003C: Pintura + Recup. chumbadores</t>
  </si>
  <si>
    <t>O-5121003C: Recuperação dos chumbadores</t>
  </si>
  <si>
    <t>https://erpweb.petrobras.com.br/sap/bc/gui/sap/its/webgui?sap-system-login-basic_auth=X&amp;sap-client=400&amp;sap-language=P&amp;~transaction=*IW23%20RIWO00-QMNUM=000015473539&amp;~okcode=IHKZ</t>
  </si>
  <si>
    <t>15473539-2</t>
  </si>
  <si>
    <t>O-5121003C: Pintura do turco</t>
  </si>
  <si>
    <t>15473539-3</t>
  </si>
  <si>
    <t>O-5121003C: Pintura de TAG/Categoria</t>
  </si>
  <si>
    <t>15473540-1</t>
  </si>
  <si>
    <t>O-5121003D: Pintura + Recup. chumbadores</t>
  </si>
  <si>
    <t>O-5121003D: Recuperação dos chumbadores</t>
  </si>
  <si>
    <t>https://erpweb.petrobras.com.br/sap/bc/gui/sap/its/webgui?sap-system-login-basic_auth=X&amp;sap-client=400&amp;sap-language=P&amp;~transaction=*IW23%20RIWO00-QMNUM=000015473540&amp;~okcode=IHKZ</t>
  </si>
  <si>
    <t>15473540-2</t>
  </si>
  <si>
    <t>O-5121003D: Pintura do turco</t>
  </si>
  <si>
    <t>15473540-3</t>
  </si>
  <si>
    <t>O-5121003D: Pintura de TAG/Categoria</t>
  </si>
  <si>
    <t>15473541-1</t>
  </si>
  <si>
    <t>O-5121003E: Pintura + Recup. chumbadores</t>
  </si>
  <si>
    <t>O-5121003E: Recuperação dos chumbadores</t>
  </si>
  <si>
    <t>https://erpweb.petrobras.com.br/sap/bc/gui/sap/its/webgui?sap-system-login-basic_auth=X&amp;sap-client=400&amp;sap-language=P&amp;~transaction=*IW23%20RIWO00-QMNUM=000015473541&amp;~okcode=IHKZ</t>
  </si>
  <si>
    <t>15473541-2</t>
  </si>
  <si>
    <t>O-5121003E: Pintura do turco</t>
  </si>
  <si>
    <t>15473541-3</t>
  </si>
  <si>
    <t>O-5121003E: Pintura de TAG/Categoria</t>
  </si>
  <si>
    <t>15473682-1</t>
  </si>
  <si>
    <t>Osmose 2 - Substituição de Telhas</t>
  </si>
  <si>
    <t>OSMOSE 2: Substituir telhas da cobertura</t>
  </si>
  <si>
    <t>https://erpweb.petrobras.com.br/sap/bc/gui/sap/its/webgui?sap-system-login-basic_auth=X&amp;sap-client=400&amp;sap-language=P&amp;~transaction=*IW23%20RIWO00-QMNUM=000015473682&amp;~okcode=IHKZ</t>
  </si>
  <si>
    <t>15473682-2</t>
  </si>
  <si>
    <t>OSMOSE 2: Pintar estrutura do telhado</t>
  </si>
  <si>
    <t>15473683-1</t>
  </si>
  <si>
    <t>Osmose 2: Pintar suportes tubulações</t>
  </si>
  <si>
    <t>OSMOSE 2: Pintar suportes tubulações</t>
  </si>
  <si>
    <t>https://erpweb.petrobras.com.br/sap/bc/gui/sap/its/webgui?sap-system-login-basic_auth=X&amp;sap-client=400&amp;sap-language=P&amp;~transaction=*IW23%20RIWO00-QMNUM=000015473683&amp;~okcode=IHKZ</t>
  </si>
  <si>
    <t>15473683-2</t>
  </si>
  <si>
    <t>OSMOSE 2: Pintar colunas de pipe-rack</t>
  </si>
  <si>
    <t>15473683-3</t>
  </si>
  <si>
    <t>OSMOSE 2: Reparar impermeabilização base</t>
  </si>
  <si>
    <t>16185191-1</t>
  </si>
  <si>
    <t>O-353C - Recompor estrutura metálica</t>
  </si>
  <si>
    <t>O-353C - Recompor estrutura</t>
  </si>
  <si>
    <t>https://erpweb.petrobras.com.br/sap/bc/gui/sap/its/webgui?sap-system-login-basic_auth=X&amp;sap-client=400&amp;sap-language=P&amp;~transaction=*IW23%20RIWO00-QMNUM=000016185191&amp;~okcode=IHKZ</t>
  </si>
  <si>
    <t>16185191-2</t>
  </si>
  <si>
    <t>O-353C - Pintura geral do vaso</t>
  </si>
  <si>
    <t>16185191-3</t>
  </si>
  <si>
    <t>O-353C - Pintar TAG e categoria</t>
  </si>
  <si>
    <t>16185191-4</t>
  </si>
  <si>
    <t>O-353C - Recuperar revestimento de fibra</t>
  </si>
  <si>
    <t>14121249-2</t>
  </si>
  <si>
    <t>FAIXA-CIAS-GLP - Substituir sinalização</t>
  </si>
  <si>
    <t>FAIXA-CIAS-GLP: Instalar/substituir plac</t>
  </si>
  <si>
    <t>https://erpweb.petrobras.com.br/sap/bc/gui/sap/its/webgui?sap-system-login-basic_auth=X&amp;sap-client=400&amp;sap-language=P&amp;~transaction=*IW23%20RIWO00-QMNUM=000014121249&amp;~okcode=IHKZ</t>
  </si>
  <si>
    <t>14121249-3</t>
  </si>
  <si>
    <t>FAIXA-CIAS-GLP: Leito de anodos sinaliza</t>
  </si>
  <si>
    <t>16227281-1</t>
  </si>
  <si>
    <t>D-571B Substituir trecho</t>
  </si>
  <si>
    <t>D-571B -Inst. capote preventiv valv plug</t>
  </si>
  <si>
    <t>https://erpweb.petrobras.com.br/sap/bc/gui/sap/its/webgui?sap-system-login-basic_auth=X&amp;sap-client=400&amp;sap-language=P&amp;~transaction=*IW23%20RIWO00-QMNUM=000016227281&amp;~okcode=IHKZ</t>
  </si>
  <si>
    <t>16234998-1</t>
  </si>
  <si>
    <t>PSE-30095/6/7 - Substituição</t>
  </si>
  <si>
    <t>PSE-30095/96/97: Substituição dos discos</t>
  </si>
  <si>
    <t>https://erpweb.petrobras.com.br/sap/bc/gui/sap/its/webgui?sap-system-login-basic_auth=X&amp;sap-client=400&amp;sap-language=P&amp;~transaction=*IW23%20RIWO00-QMNUM=000016234998&amp;~okcode=IHKZ</t>
  </si>
  <si>
    <t>16237062-1</t>
  </si>
  <si>
    <t>U-500 - Inspeção e Reparo Pipe Rack</t>
  </si>
  <si>
    <t>Reparo viga Pipe Rack</t>
  </si>
  <si>
    <t>https://erpweb.petrobras.com.br/sap/bc/gui/sap/its/webgui?sap-system-login-basic_auth=X&amp;sap-client=400&amp;sap-language=P&amp;~transaction=*IW23%20RIWO00-QMNUM=000016237062&amp;~okcode=IHKZ</t>
  </si>
  <si>
    <t>15553518-1</t>
  </si>
  <si>
    <t>D-300(J-356AB) - Trocar trecho</t>
  </si>
  <si>
    <t>D-300 - Trocar trecho linha</t>
  </si>
  <si>
    <t>https://erpweb.petrobras.com.br/sap/bc/gui/sap/its/webgui?sap-system-login-basic_auth=X&amp;sap-client=400&amp;sap-language=P&amp;~transaction=*IW23%20RIWO00-QMNUM=000015553518&amp;~okcode=IHKZ</t>
  </si>
  <si>
    <t>15565582-1</t>
  </si>
  <si>
    <t>FL-4501B - Manutenção do filtro</t>
  </si>
  <si>
    <t>FL-4501B - Fabricar e instalar turco</t>
  </si>
  <si>
    <t>https://erpweb.petrobras.com.br/sap/bc/gui/sap/its/webgui?sap-system-login-basic_auth=X&amp;sap-client=400&amp;sap-language=P&amp;~transaction=*IW23%20RIWO00-QMNUM=000015565582&amp;~okcode=IHKZ</t>
  </si>
  <si>
    <t>15565582-2</t>
  </si>
  <si>
    <t>FL-4501B - Realizar pintura geral ext</t>
  </si>
  <si>
    <t>15566476-1</t>
  </si>
  <si>
    <t>O-5121004A - Revisar identificação</t>
  </si>
  <si>
    <t>O-5121004A - Apagar categoria NR-13</t>
  </si>
  <si>
    <t>https://erpweb.petrobras.com.br/sap/bc/gui/sap/its/webgui?sap-system-login-basic_auth=X&amp;sap-client=400&amp;sap-language=P&amp;~transaction=*IW23%20RIWO00-QMNUM=000015566476&amp;~okcode=IHKZ</t>
  </si>
  <si>
    <t>15566978-1</t>
  </si>
  <si>
    <t>O-5121004B - Revisar identificação</t>
  </si>
  <si>
    <t>O-5121004B - Apagar categoria NR-13</t>
  </si>
  <si>
    <t>https://erpweb.petrobras.com.br/sap/bc/gui/sap/its/webgui?sap-system-login-basic_auth=X&amp;sap-client=400&amp;sap-language=P&amp;~transaction=*IW23%20RIWO00-QMNUM=000015566978&amp;~okcode=IHKZ</t>
  </si>
  <si>
    <t>15566979-1</t>
  </si>
  <si>
    <t>O-5121004C - Revisar identificação</t>
  </si>
  <si>
    <t>O-5121004C - Apagar categoria NR-13</t>
  </si>
  <si>
    <t>https://erpweb.petrobras.com.br/sap/bc/gui/sap/its/webgui?sap-system-login-basic_auth=X&amp;sap-client=400&amp;sap-language=P&amp;~transaction=*IW23%20RIWO00-QMNUM=000015566979&amp;~okcode=IHKZ</t>
  </si>
  <si>
    <t>15566981-1</t>
  </si>
  <si>
    <t>O-5121004D - Revisar identificação</t>
  </si>
  <si>
    <t>O-5121004D - Apagar categoria NR-13</t>
  </si>
  <si>
    <t>https://erpweb.petrobras.com.br/sap/bc/gui/sap/its/webgui?sap-system-login-basic_auth=X&amp;sap-client=400&amp;sap-language=P&amp;~transaction=*IW23%20RIWO00-QMNUM=000015566981&amp;~okcode=IHKZ</t>
  </si>
  <si>
    <t>15566983-1</t>
  </si>
  <si>
    <t>O-5121004E - Revisar identificação</t>
  </si>
  <si>
    <t>O-5121004E - Apagar categoria NR-13</t>
  </si>
  <si>
    <t>https://erpweb.petrobras.com.br/sap/bc/gui/sap/its/webgui?sap-system-login-basic_auth=X&amp;sap-client=400&amp;sap-language=P&amp;~transaction=*IW23%20RIWO00-QMNUM=000015566983&amp;~okcode=IHKZ</t>
  </si>
  <si>
    <t>15566984-1</t>
  </si>
  <si>
    <t>O-5121005A - Revisar identificação</t>
  </si>
  <si>
    <t>O-5121005A - Apagar categoria NR-13</t>
  </si>
  <si>
    <t>https://erpweb.petrobras.com.br/sap/bc/gui/sap/its/webgui?sap-system-login-basic_auth=X&amp;sap-client=400&amp;sap-language=P&amp;~transaction=*IW23%20RIWO00-QMNUM=000015566984&amp;~okcode=IHKZ</t>
  </si>
  <si>
    <t>15566985-1</t>
  </si>
  <si>
    <t>O-5121005B - Revisar identificação</t>
  </si>
  <si>
    <t>O-5121005B - Apagar categoria NR-13</t>
  </si>
  <si>
    <t>https://erpweb.petrobras.com.br/sap/bc/gui/sap/its/webgui?sap-system-login-basic_auth=X&amp;sap-client=400&amp;sap-language=P&amp;~transaction=*IW23%20RIWO00-QMNUM=000015566985&amp;~okcode=IHKZ</t>
  </si>
  <si>
    <t>15566986-1</t>
  </si>
  <si>
    <t>O-5121005C - Revisar identificação</t>
  </si>
  <si>
    <t>O-5121005C - Apagar categoria NR-13</t>
  </si>
  <si>
    <t>https://erpweb.petrobras.com.br/sap/bc/gui/sap/its/webgui?sap-system-login-basic_auth=X&amp;sap-client=400&amp;sap-language=P&amp;~transaction=*IW23%20RIWO00-QMNUM=000015566986&amp;~okcode=IHKZ</t>
  </si>
  <si>
    <t>15567158-1</t>
  </si>
  <si>
    <t>O-5121005D - Revisar identificação</t>
  </si>
  <si>
    <t>O-5121005D - Apagar categoria NR-13</t>
  </si>
  <si>
    <t>https://erpweb.petrobras.com.br/sap/bc/gui/sap/its/webgui?sap-system-login-basic_auth=X&amp;sap-client=400&amp;sap-language=P&amp;~transaction=*IW23%20RIWO00-QMNUM=000015567158&amp;~okcode=IHKZ</t>
  </si>
  <si>
    <t>15567159-1</t>
  </si>
  <si>
    <t>O-5121005E - Revisar identificação</t>
  </si>
  <si>
    <t>O-5121005E - Apagar categoria NR-13</t>
  </si>
  <si>
    <t>https://erpweb.petrobras.com.br/sap/bc/gui/sap/its/webgui?sap-system-login-basic_auth=X&amp;sap-client=400&amp;sap-language=P&amp;~transaction=*IW23%20RIWO00-QMNUM=000015567159&amp;~okcode=IHKZ</t>
  </si>
  <si>
    <t>14274243-2</t>
  </si>
  <si>
    <t>PSV-50125 - Substituir PSV</t>
  </si>
  <si>
    <t>PSV-50125-Substituir PSV</t>
  </si>
  <si>
    <t>https://erpweb.petrobras.com.br/sap/bc/gui/sap/its/webgui?sap-system-login-basic_auth=X&amp;sap-client=400&amp;sap-language=P&amp;~transaction=*IW23%20RIWO00-QMNUM=000014274243&amp;~okcode=IHKZ</t>
  </si>
  <si>
    <t>16277725-1</t>
  </si>
  <si>
    <t>D-300AD Substituição de linha.</t>
  </si>
  <si>
    <t>D-300AD - Substituir Trechos</t>
  </si>
  <si>
    <t>https://erpweb.petrobras.com.br/sap/bc/gui/sap/its/webgui?sap-system-login-basic_auth=X&amp;sap-client=400&amp;sap-language=P&amp;~transaction=*IW23%20RIWO00-QMNUM=000016277725&amp;~okcode=IHKZ</t>
  </si>
  <si>
    <t>15605765-1</t>
  </si>
  <si>
    <t>D-300AD - Reparo de vazamento em linha</t>
  </si>
  <si>
    <t>D-300 - Instalar reforço</t>
  </si>
  <si>
    <t>https://erpweb.petrobras.com.br/sap/bc/gui/sap/its/webgui?sap-system-login-basic_auth=X&amp;sap-client=400&amp;sap-language=P&amp;~transaction=*IW23%20RIWO00-QMNUM=000015605765&amp;~okcode=IHKZ</t>
  </si>
  <si>
    <t>15615245-1</t>
  </si>
  <si>
    <t>D-800G - Pintura de trecho de tubulação</t>
  </si>
  <si>
    <t>D-800G - Pintar trecho tubulação</t>
  </si>
  <si>
    <t>https://erpweb.petrobras.com.br/sap/bc/gui/sap/its/webgui?sap-system-login-basic_auth=X&amp;sap-client=400&amp;sap-language=P&amp;~transaction=*IW23%20RIWO00-QMNUM=000015615245&amp;~okcode=IHKZ</t>
  </si>
  <si>
    <t>15615245-2</t>
  </si>
  <si>
    <t>D-800G - Pintar dreno linha na C08-AV01</t>
  </si>
  <si>
    <t>15615245-3</t>
  </si>
  <si>
    <t>D-800G - Limpar canaleta - C08-AV01</t>
  </si>
  <si>
    <t>15616936-1</t>
  </si>
  <si>
    <t>M-546 - Retubagem do feixe.</t>
  </si>
  <si>
    <t>M-546 - Retubagem do feixe</t>
  </si>
  <si>
    <t>https://erpweb.petrobras.com.br/sap/bc/gui/sap/its/webgui?sap-system-login-basic_auth=X&amp;sap-client=400&amp;sap-language=P&amp;~transaction=*IW23%20RIWO00-QMNUM=000015616936&amp;~okcode=IHKZ</t>
  </si>
  <si>
    <t>15681144-1</t>
  </si>
  <si>
    <t>M-647 - Retubagem do feixe</t>
  </si>
  <si>
    <t>M-647 - Introdução / Lista de serviços</t>
  </si>
  <si>
    <t>https://erpweb.petrobras.com.br/sap/bc/gui/sap/its/webgui?sap-system-login-basic_auth=X&amp;sap-client=400&amp;sap-language=P&amp;~transaction=*IW23%20RIWO00-QMNUM=000015681144&amp;~okcode=IHKZ</t>
  </si>
  <si>
    <t>15681144-2</t>
  </si>
  <si>
    <t>M-647 - Abertura/remoção para limpeza e</t>
  </si>
  <si>
    <t>15681144-3</t>
  </si>
  <si>
    <t>M-647 - Inspeção</t>
  </si>
  <si>
    <t>15681144-4</t>
  </si>
  <si>
    <t>M-647 - Teste hidrostático</t>
  </si>
  <si>
    <t>15681144-5</t>
  </si>
  <si>
    <t>M-647 - Retubagem</t>
  </si>
  <si>
    <t>15681144-6</t>
  </si>
  <si>
    <t>M-647 - Pintura lado água</t>
  </si>
  <si>
    <t>15681144-7</t>
  </si>
  <si>
    <t>M-647- Sacar tubos</t>
  </si>
  <si>
    <t>15682233-1</t>
  </si>
  <si>
    <t>M-592B - Retubagem do feixe</t>
  </si>
  <si>
    <t>https://erpweb.petrobras.com.br/sap/bc/gui/sap/its/webgui?sap-system-login-basic_auth=X&amp;sap-client=400&amp;sap-language=P&amp;~transaction=*IW23%20RIWO00-QMNUM=000015682233&amp;~okcode=IHKZ</t>
  </si>
  <si>
    <t>15748446-1</t>
  </si>
  <si>
    <t>PSV-80235 - Substituir a PSV</t>
  </si>
  <si>
    <t>PSV-80235: substituir a PSV-80235</t>
  </si>
  <si>
    <t>https://erpweb.petrobras.com.br/sap/bc/gui/sap/its/webgui?sap-system-login-basic_auth=X&amp;sap-client=400&amp;sap-language=P&amp;~transaction=*IW23%20RIWO00-QMNUM=000015748446&amp;~okcode=IHKZ</t>
  </si>
  <si>
    <t>15749880-2</t>
  </si>
  <si>
    <t>P-807C - Reparar pintura do teto</t>
  </si>
  <si>
    <t>P-807C - Recuperar pintura do teto</t>
  </si>
  <si>
    <t>https://erpweb.petrobras.com.br/sap/bc/gui/sap/its/webgui?sap-system-login-basic_auth=X&amp;sap-client=400&amp;sap-language=P&amp;~transaction=*IW23%20RIWO00-QMNUM=000015749880&amp;~okcode=IHKZ</t>
  </si>
  <si>
    <t>15753880-1</t>
  </si>
  <si>
    <t>M-757 - Substituição do casco e carretel</t>
  </si>
  <si>
    <t>M-757 Substituição do casco</t>
  </si>
  <si>
    <t>https://erpweb.petrobras.com.br/sap/bc/gui/sap/its/webgui?sap-system-login-basic_auth=X&amp;sap-client=400&amp;sap-language=P&amp;~transaction=*IW23%20RIWO00-QMNUM=000015753880&amp;~okcode=IHKZ</t>
  </si>
  <si>
    <t>15753880-2</t>
  </si>
  <si>
    <t>M-757 Substituição do carretel</t>
  </si>
  <si>
    <t>15808945-1</t>
  </si>
  <si>
    <t>O-586 - Reparos no isolamento térmico</t>
  </si>
  <si>
    <t>O-586 - Recompor isolamento das calotas</t>
  </si>
  <si>
    <t>https://erpweb.petrobras.com.br/sap/bc/gui/sap/its/webgui?sap-system-login-basic_auth=X&amp;sap-client=400&amp;sap-language=P&amp;~transaction=*IW23%20RIWO00-QMNUM=000015808945&amp;~okcode=IHKZ</t>
  </si>
  <si>
    <t>15808945-2</t>
  </si>
  <si>
    <t>O-586 - Instalar caixas de ME no isolame</t>
  </si>
  <si>
    <t>15808945-3</t>
  </si>
  <si>
    <t>O-586 - Recompor isolamento do casco</t>
  </si>
  <si>
    <t>15815115-1</t>
  </si>
  <si>
    <t>M-583 - Chapa de proteção danificada</t>
  </si>
  <si>
    <t>M-583 - Rebitar chapa de proteção</t>
  </si>
  <si>
    <t>https://erpweb.petrobras.com.br/sap/bc/gui/sap/its/webgui?sap-system-login-basic_auth=X&amp;sap-client=400&amp;sap-language=P&amp;~transaction=*IW23%20RIWO00-QMNUM=000015815115&amp;~okcode=IHKZ</t>
  </si>
  <si>
    <t>15820853-1</t>
  </si>
  <si>
    <t>M-2225502B - Fabricação de feixe</t>
  </si>
  <si>
    <t>M-2225502B - Retubagem do feixe</t>
  </si>
  <si>
    <t>https://erpweb.petrobras.com.br/sap/bc/gui/sap/its/webgui?sap-system-login-basic_auth=X&amp;sap-client=400&amp;sap-language=P&amp;~transaction=*IW23%20RIWO00-QMNUM=000015820853&amp;~okcode=IHKZ</t>
  </si>
  <si>
    <t>15834383-1</t>
  </si>
  <si>
    <t>P-801I - Reparo a frio no teto flutuante</t>
  </si>
  <si>
    <t>P-801I - Realizar reparo a frio no teto</t>
  </si>
  <si>
    <t>05. Falta Liberação pela Operação</t>
  </si>
  <si>
    <t>https://erpweb.petrobras.com.br/sap/bc/gui/sap/its/webgui?sap-system-login-basic_auth=X&amp;sap-client=400&amp;sap-language=P&amp;~transaction=*IW23%20RIWO00-QMNUM=000015834383&amp;~okcode=IHKZ</t>
  </si>
  <si>
    <t>15858634-1</t>
  </si>
  <si>
    <t>M-532B - Nota de Campanha - Pluguear</t>
  </si>
  <si>
    <t>M-532B - Caldeiraria - Pluguear tubo</t>
  </si>
  <si>
    <t>https://erpweb.petrobras.com.br/sap/bc/gui/sap/its/webgui?sap-system-login-basic_auth=X&amp;sap-client=400&amp;sap-language=P&amp;~transaction=*IW23%20RIWO00-QMNUM=000015858634&amp;~okcode=IHKZ</t>
  </si>
  <si>
    <t>15862378-1</t>
  </si>
  <si>
    <t>O-0200218 - Reinstalar cabo terra</t>
  </si>
  <si>
    <t>https://erpweb.petrobras.com.br/sap/bc/gui/sap/its/webgui?sap-system-login-basic_auth=X&amp;sap-client=400&amp;sap-language=P&amp;~transaction=*IW23%20RIWO00-QMNUM=000015862378&amp;~okcode=IHKZ</t>
  </si>
  <si>
    <t>15969585-1</t>
  </si>
  <si>
    <t>M-579 - Manutenção</t>
  </si>
  <si>
    <t>M-579 – Pintar internamente componentes</t>
  </si>
  <si>
    <t>https://erpweb.petrobras.com.br/sap/bc/gui/sap/its/webgui?sap-system-login-basic_auth=X&amp;sap-client=400&amp;sap-language=P&amp;~transaction=*IW23%20RIWO00-QMNUM=000015969585&amp;~okcode=IHKZ</t>
  </si>
  <si>
    <t>15969585-2</t>
  </si>
  <si>
    <t>M-579 – Pintura interna do casco</t>
  </si>
  <si>
    <t>16009674-1</t>
  </si>
  <si>
    <t>PSV-30284 - Substituição de componente</t>
  </si>
  <si>
    <t>PSV-30284 - Substituir disco</t>
  </si>
  <si>
    <t>https://erpweb.petrobras.com.br/sap/bc/gui/sap/its/webgui?sap-system-login-basic_auth=X&amp;sap-client=400&amp;sap-language=P&amp;~transaction=*IW23%20RIWO00-QMNUM=000016009674&amp;~okcode=IHKZ</t>
  </si>
  <si>
    <t>16015898-1</t>
  </si>
  <si>
    <t>K-318 - Vazamento em tubulação do dreno</t>
  </si>
  <si>
    <t>K-318 - Trocar trecho</t>
  </si>
  <si>
    <t>https://erpweb.petrobras.com.br/sap/bc/gui/sap/its/webgui?sap-system-login-basic_auth=X&amp;sap-client=400&amp;sap-language=P&amp;~transaction=*IW23%20RIWO00-QMNUM=000016015898&amp;~okcode=IHKZ</t>
  </si>
  <si>
    <t>16024101-1</t>
  </si>
  <si>
    <t>PSV-80986 - Substituição de mola</t>
  </si>
  <si>
    <t>PSV-80986 - Substituir mola</t>
  </si>
  <si>
    <t>https://erpweb.petrobras.com.br/sap/bc/gui/sap/its/webgui?sap-system-login-basic_auth=X&amp;sap-client=400&amp;sap-language=P&amp;~transaction=*IW23%20RIWO00-QMNUM=000016024101&amp;~okcode=IHKZ</t>
  </si>
  <si>
    <t>16024101-2</t>
  </si>
  <si>
    <t>PSV-80986 - Realizar limpeza/calibração</t>
  </si>
  <si>
    <t>16025307-1</t>
  </si>
  <si>
    <t>PSV-80987 - Substituição de mola</t>
  </si>
  <si>
    <t>https://erpweb.petrobras.com.br/sap/bc/gui/sap/its/webgui?sap-system-login-basic_auth=X&amp;sap-client=400&amp;sap-language=P&amp;~transaction=*IW23%20RIWO00-QMNUM=000016025307&amp;~okcode=IHKZ</t>
  </si>
  <si>
    <t>16025307-2</t>
  </si>
  <si>
    <t>PSV-80987 - Realizar limpeza/calibração</t>
  </si>
  <si>
    <t>16025431-1</t>
  </si>
  <si>
    <t>PSV-80988 - Substituição de mola</t>
  </si>
  <si>
    <t>https://erpweb.petrobras.com.br/sap/bc/gui/sap/its/webgui?sap-system-login-basic_auth=X&amp;sap-client=400&amp;sap-language=P&amp;~transaction=*IW23%20RIWO00-QMNUM=000016025431&amp;~okcode=IHKZ</t>
  </si>
  <si>
    <t>16025431-2</t>
  </si>
  <si>
    <t>PSV-80988 - Realizar limpeza/calibração</t>
  </si>
  <si>
    <t>16093242-1</t>
  </si>
  <si>
    <t>M-2225502A - Fabricação de feixe</t>
  </si>
  <si>
    <t>M-2225502A - Retubagem do feixe</t>
  </si>
  <si>
    <t>https://erpweb.petrobras.com.br/sap/bc/gui/sap/its/webgui?sap-system-login-basic_auth=X&amp;sap-client=400&amp;sap-language=P&amp;~transaction=*IW23%20RIWO00-QMNUM=000016093242&amp;~okcode=IHKZ</t>
  </si>
  <si>
    <t>16095725-1</t>
  </si>
  <si>
    <t>PSV-40090D - Substituir válvula</t>
  </si>
  <si>
    <t>https://erpweb.petrobras.com.br/sap/bc/gui/sap/its/webgui?sap-system-login-basic_auth=X&amp;sap-client=400&amp;sap-language=P&amp;~transaction=*IW23%20RIWO00-QMNUM=000016095725&amp;~okcode=IHKZ</t>
  </si>
  <si>
    <t>16117222-1</t>
  </si>
  <si>
    <t>M-574 - Instalar placa de dados</t>
  </si>
  <si>
    <t>https://erpweb.petrobras.com.br/sap/bc/gui/sap/its/webgui?sap-system-login-basic_auth=X&amp;sap-client=400&amp;sap-language=P&amp;~transaction=*IW23%20RIWO00-QMNUM=000016117222&amp;~okcode=IHKZ</t>
  </si>
  <si>
    <t>16120033-1</t>
  </si>
  <si>
    <t>M-2316003B - Subsituição de Placa</t>
  </si>
  <si>
    <t>M-2316003B Substituir Placa de Dados</t>
  </si>
  <si>
    <t>https://erpweb.petrobras.com.br/sap/bc/gui/sap/its/webgui?sap-system-login-basic_auth=X&amp;sap-client=400&amp;sap-language=P&amp;~transaction=*IW23%20RIWO00-QMNUM=000016120033&amp;~okcode=IHKZ</t>
  </si>
  <si>
    <t>16120150-1</t>
  </si>
  <si>
    <t>O-2316009 - Subsituição de Placa</t>
  </si>
  <si>
    <t>O-2316009 Substituir Placa de Dados</t>
  </si>
  <si>
    <t>https://erpweb.petrobras.com.br/sap/bc/gui/sap/its/webgui?sap-system-login-basic_auth=X&amp;sap-client=400&amp;sap-language=P&amp;~transaction=*IW23%20RIWO00-QMNUM=000016120150&amp;~okcode=IHKZ</t>
  </si>
  <si>
    <t>16128266-1</t>
  </si>
  <si>
    <t>GV-6301 - Prolongar grade de piso</t>
  </si>
  <si>
    <t>https://erpweb.petrobras.com.br/sap/bc/gui/sap/its/webgui?sap-system-login-basic_auth=X&amp;sap-client=400&amp;sap-language=P&amp;~transaction=*IW23%20RIWO00-QMNUM=000016128266&amp;~okcode=IHKZ</t>
  </si>
  <si>
    <t>16128356-1</t>
  </si>
  <si>
    <t>GV-6302 - Elevar grade de piso</t>
  </si>
  <si>
    <t>https://erpweb.petrobras.com.br/sap/bc/gui/sap/its/webgui?sap-system-login-basic_auth=X&amp;sap-client=400&amp;sap-language=P&amp;~transaction=*IW23%20RIWO00-QMNUM=000016128356&amp;~okcode=IHKZ</t>
  </si>
  <si>
    <t>15083568-3</t>
  </si>
  <si>
    <t>M-756 - Retubagem total do feixe</t>
  </si>
  <si>
    <t>16224892-1</t>
  </si>
  <si>
    <t>D-800GT Pintar linha 10-HC-6521-1005-Bc</t>
  </si>
  <si>
    <t>D-800GT Pintar linha 10"-HC-6521-1005-Bc</t>
  </si>
  <si>
    <t>https://erpweb.petrobras.com.br/sap/bc/gui/sap/its/webgui?sap-system-login-basic_auth=X&amp;sap-client=400&amp;sap-language=P&amp;~transaction=*IW23%20RIWO00-QMNUM=000016224892&amp;~okcode=IHKZ</t>
  </si>
  <si>
    <t>16224897-1</t>
  </si>
  <si>
    <t>D-800GT Pintar Lnha 16-HC-2313-5413-Bc</t>
  </si>
  <si>
    <t>D-800GT Pintar linha 16-HC-2313-5413-Bc</t>
  </si>
  <si>
    <t>https://erpweb.petrobras.com.br/sap/bc/gui/sap/its/webgui?sap-system-login-basic_auth=X&amp;sap-client=400&amp;sap-language=P&amp;~transaction=*IW23%20RIWO00-QMNUM=000016224897&amp;~okcode=IHKZ</t>
  </si>
  <si>
    <t>16225061-1</t>
  </si>
  <si>
    <t>D-800GT Pintar Linha 18-HC-2311-2568-Bc</t>
  </si>
  <si>
    <t>https://erpweb.petrobras.com.br/sap/bc/gui/sap/its/webgui?sap-system-login-basic_auth=X&amp;sap-client=400&amp;sap-language=P&amp;~transaction=*IW23%20RIWO00-QMNUM=000016225061&amp;~okcode=IHKZ</t>
  </si>
  <si>
    <t>16225066-1</t>
  </si>
  <si>
    <t>D-800GT Pintar Linha 24-GT-8-1051-Ba</t>
  </si>
  <si>
    <t>https://erpweb.petrobras.com.br/sap/bc/gui/sap/its/webgui?sap-system-login-basic_auth=X&amp;sap-client=400&amp;sap-language=P&amp;~transaction=*IW23%20RIWO00-QMNUM=000016225066&amp;~okcode=IHKZ</t>
  </si>
  <si>
    <t>16225249-1</t>
  </si>
  <si>
    <t>D-800GT Pintar Linha 24-HC-2316-2556-Bc</t>
  </si>
  <si>
    <t>https://erpweb.petrobras.com.br/sap/bc/gui/sap/its/webgui?sap-system-login-basic_auth=X&amp;sap-client=400&amp;sap-language=P&amp;~transaction=*IW23%20RIWO00-QMNUM=000016225249&amp;~okcode=IHKZ</t>
  </si>
  <si>
    <t>16235458-1</t>
  </si>
  <si>
    <t>D-800GT Pintar linha 26-GT-8-1052-Ba</t>
  </si>
  <si>
    <t>https://erpweb.petrobras.com.br/sap/bc/gui/sap/its/webgui?sap-system-login-basic_auth=X&amp;sap-client=400&amp;sap-language=P&amp;~transaction=*IW23%20RIWO00-QMNUM=000016235458&amp;~okcode=IHKZ</t>
  </si>
  <si>
    <t>16235461-1</t>
  </si>
  <si>
    <t>D-800GT Pintar linha 32"-GT-8-1051-Bc</t>
  </si>
  <si>
    <t>https://erpweb.petrobras.com.br/sap/bc/gui/sap/its/webgui?sap-system-login-basic_auth=X&amp;sap-client=400&amp;sap-language=P&amp;~transaction=*IW23%20RIWO00-QMNUM=000016235461&amp;~okcode=IHKZ</t>
  </si>
  <si>
    <t>16235464-1</t>
  </si>
  <si>
    <t>D-800GT Pintar linha 36"-GT-8-1051-Bc</t>
  </si>
  <si>
    <t>https://erpweb.petrobras.com.br/sap/bc/gui/sap/its/webgui?sap-system-login-basic_auth=X&amp;sap-client=400&amp;sap-language=P&amp;~transaction=*IW23%20RIWO00-QMNUM=000016235464&amp;~okcode=IHKZ</t>
  </si>
  <si>
    <t>16235467-1</t>
  </si>
  <si>
    <t>D-800GT Pintar linha 36"-GT-8-1055-Bc</t>
  </si>
  <si>
    <t>https://erpweb.petrobras.com.br/sap/bc/gui/sap/its/webgui?sap-system-login-basic_auth=X&amp;sap-client=400&amp;sap-language=P&amp;~transaction=*IW23%20RIWO00-QMNUM=000016235467&amp;~okcode=IHKZ</t>
  </si>
  <si>
    <t>16235590-1</t>
  </si>
  <si>
    <t>D-800GT Pintar linha 36"-GT-8-1059-Bc</t>
  </si>
  <si>
    <t>https://erpweb.petrobras.com.br/sap/bc/gui/sap/its/webgui?sap-system-login-basic_auth=X&amp;sap-client=400&amp;sap-language=P&amp;~transaction=*IW23%20RIWO00-QMNUM=000016235590&amp;~okcode=IHKZ</t>
  </si>
  <si>
    <t>16235709-1</t>
  </si>
  <si>
    <t>D-800GT Pintar linha 8"-GT-5-1020-Ba</t>
  </si>
  <si>
    <t>https://erpweb.petrobras.com.br/sap/bc/gui/sap/its/webgui?sap-system-login-basic_auth=X&amp;sap-client=400&amp;sap-language=P&amp;~transaction=*IW23%20RIWO00-QMNUM=000016235709&amp;~okcode=IHKZ</t>
  </si>
  <si>
    <t>16235712-1</t>
  </si>
  <si>
    <t>D-800GT Pintar linha 8"-GT-5132-1031-Bc</t>
  </si>
  <si>
    <t>https://erpweb.petrobras.com.br/sap/bc/gui/sap/its/webgui?sap-system-login-basic_auth=X&amp;sap-client=400&amp;sap-language=P&amp;~transaction=*IW23%20RIWO00-QMNUM=000016235712&amp;~okcode=IHKZ</t>
  </si>
  <si>
    <t>16245661-1</t>
  </si>
  <si>
    <t>O-0400045 - Pintura interna</t>
  </si>
  <si>
    <t>O-0400045 - Pintar internamente</t>
  </si>
  <si>
    <t>https://erpweb.petrobras.com.br/sap/bc/gui/sap/its/webgui?sap-system-login-basic_auth=X&amp;sap-client=400&amp;sap-language=P&amp;~transaction=*IW23%20RIWO00-QMNUM=000016245661&amp;~okcode=IHKZ</t>
  </si>
  <si>
    <t>16245860-1</t>
  </si>
  <si>
    <t>O-0400042 - Pintura interna</t>
  </si>
  <si>
    <t>O-0400042 - Pintar internamente</t>
  </si>
  <si>
    <t>https://erpweb.petrobras.com.br/sap/bc/gui/sap/its/webgui?sap-system-login-basic_auth=X&amp;sap-client=400&amp;sap-language=P&amp;~transaction=*IW23%20RIWO00-QMNUM=000016245860&amp;~okcode=IHKZ</t>
  </si>
  <si>
    <t>REFINARIA</t>
  </si>
  <si>
    <t>FUNÇÃO</t>
  </si>
  <si>
    <t>SF</t>
  </si>
  <si>
    <t>SE</t>
  </si>
  <si>
    <t>EQUIPAMENTO</t>
  </si>
  <si>
    <t>IMPACTO</t>
  </si>
  <si>
    <t>GER</t>
  </si>
  <si>
    <t>ÁREA</t>
  </si>
  <si>
    <t>PROCESSO</t>
  </si>
  <si>
    <t>UNIDADE</t>
  </si>
  <si>
    <t>PLANO</t>
  </si>
  <si>
    <t>INÍCIO DA SITUAÇÃO</t>
  </si>
  <si>
    <t>EXPECTATIVA ENTREGA</t>
  </si>
  <si>
    <t>DATA PROG</t>
  </si>
  <si>
    <t>NIVELÁVEL</t>
  </si>
  <si>
    <t>PENDÊNCIAS</t>
  </si>
  <si>
    <t>DIAS NO PFCEO</t>
  </si>
  <si>
    <t>Carregamento de Melhorador de Cetano</t>
  </si>
  <si>
    <t>SEM AMEAÇA</t>
  </si>
  <si>
    <t>DEFEITO</t>
  </si>
  <si>
    <t>J-0800123A</t>
  </si>
  <si>
    <t>Confiab. - DPP</t>
  </si>
  <si>
    <t>ED</t>
  </si>
  <si>
    <t>LTE</t>
  </si>
  <si>
    <t>TE</t>
  </si>
  <si>
    <t>Expedição</t>
  </si>
  <si>
    <t>NÃO NIVELÁVEL</t>
  </si>
  <si>
    <t>Impedido Manutenção</t>
  </si>
  <si>
    <t>Compressão do gás de reciclo</t>
  </si>
  <si>
    <t>J-2313012T</t>
  </si>
  <si>
    <t>Confiab. - DO</t>
  </si>
  <si>
    <t>HDR</t>
  </si>
  <si>
    <t>HDT-M</t>
  </si>
  <si>
    <t>U-2313</t>
  </si>
  <si>
    <t>Bombeio de esgotamento de sump tank</t>
  </si>
  <si>
    <t>SEM REDUNDÂNCIA E COM RESTRIÇÃO</t>
  </si>
  <si>
    <t>FALHA</t>
  </si>
  <si>
    <t>J-808</t>
  </si>
  <si>
    <t>SMS - IEH</t>
  </si>
  <si>
    <t>Sistemas de Segurança</t>
  </si>
  <si>
    <t>Execução iniciada</t>
  </si>
  <si>
    <t>Reação biológica</t>
  </si>
  <si>
    <t>T-815A</t>
  </si>
  <si>
    <t>UTL</t>
  </si>
  <si>
    <t>Efluentes</t>
  </si>
  <si>
    <t>Dosagem de Melhorador de Cetano</t>
  </si>
  <si>
    <t>J-0800124B</t>
  </si>
  <si>
    <t>EI</t>
  </si>
  <si>
    <t>Aguarda Programação</t>
  </si>
  <si>
    <t>AC CAFOR (CCL 2)</t>
  </si>
  <si>
    <t>DISPONÍVEL</t>
  </si>
  <si>
    <t>CB-2011-A</t>
  </si>
  <si>
    <t>Elétrico</t>
  </si>
  <si>
    <t>N/A</t>
  </si>
  <si>
    <t>CB-2011-B</t>
  </si>
  <si>
    <t>IN-2011</t>
  </si>
  <si>
    <t>IN-2012</t>
  </si>
  <si>
    <t>IN-2013</t>
  </si>
  <si>
    <t>AC CAFOR (SE-201)</t>
  </si>
  <si>
    <t>CB-2012-A</t>
  </si>
  <si>
    <t>CB-2012-B</t>
  </si>
  <si>
    <t>AC CCI</t>
  </si>
  <si>
    <t>CB-8221-A</t>
  </si>
  <si>
    <t>CB-8221-B</t>
  </si>
  <si>
    <t>IN-8221</t>
  </si>
  <si>
    <t>IN-8222</t>
  </si>
  <si>
    <t>IN-8223</t>
  </si>
  <si>
    <t>IN-8224</t>
  </si>
  <si>
    <t>AC CCI ALTERNATIVA (SE 820)</t>
  </si>
  <si>
    <t>CB-8201</t>
  </si>
  <si>
    <t>AC DESTILAÇÃO (SE-200)</t>
  </si>
  <si>
    <t>CB-2001</t>
  </si>
  <si>
    <t>AC DISTRIBUIÇÃO MÉDIA TENSÃO (SE-631)</t>
  </si>
  <si>
    <t>CB-6311</t>
  </si>
  <si>
    <t>UPS-6311</t>
  </si>
  <si>
    <t>AC ETA 1 (CCL 4)</t>
  </si>
  <si>
    <t>CB-1301-A</t>
  </si>
  <si>
    <t>CB-1301-B</t>
  </si>
  <si>
    <t>IN-1301</t>
  </si>
  <si>
    <t>IN-1302</t>
  </si>
  <si>
    <t>AC ETA 2 (CCL 6)</t>
  </si>
  <si>
    <t>CB-6202</t>
  </si>
  <si>
    <t>IN-6201</t>
  </si>
  <si>
    <t>AC ETDI (CCL 3)</t>
  </si>
  <si>
    <t>UPS-7421</t>
  </si>
  <si>
    <t>AC EXPEDIÇÃO (SE-450)</t>
  </si>
  <si>
    <t>CB-4501</t>
  </si>
  <si>
    <t>AC HDT-HDS-URE (SE-280)</t>
  </si>
  <si>
    <t>CB-28001-A</t>
  </si>
  <si>
    <t>CB-28001-B</t>
  </si>
  <si>
    <t>CB-28002</t>
  </si>
  <si>
    <t>UPS-28001-A</t>
  </si>
  <si>
    <t>UPS-28001-B</t>
  </si>
  <si>
    <t>AC PROPENO (SE-301)</t>
  </si>
  <si>
    <t>CB-3011</t>
  </si>
  <si>
    <t>UPS-3011</t>
  </si>
  <si>
    <t>UPS-3012</t>
  </si>
  <si>
    <t>AC RECEPÇÃO EXTERNA (SE-650)</t>
  </si>
  <si>
    <t>CB-6501</t>
  </si>
  <si>
    <t>UPS-6501</t>
  </si>
  <si>
    <t>AC TOCHA-ETDI (SE-742)</t>
  </si>
  <si>
    <t>CB-7421</t>
  </si>
  <si>
    <t>AC TORRES (SE-612)</t>
  </si>
  <si>
    <t>CB-6121</t>
  </si>
  <si>
    <t>UPS-6121</t>
  </si>
  <si>
    <t>UPS-6122</t>
  </si>
  <si>
    <t>AC TRANSFERÊNCIA E ESTOCAGEM (SE-620)</t>
  </si>
  <si>
    <t>CB-6201</t>
  </si>
  <si>
    <t>UPS-6201</t>
  </si>
  <si>
    <t>AC TRANSPETRO (CCL 7)</t>
  </si>
  <si>
    <t>SIP-701</t>
  </si>
  <si>
    <t>AC URFCC (CCL 5)</t>
  </si>
  <si>
    <t>SIP-501</t>
  </si>
  <si>
    <t>SIP-502</t>
  </si>
  <si>
    <t>AC URFCC (SE-220)</t>
  </si>
  <si>
    <t>CB-2201</t>
  </si>
  <si>
    <t>UPS-2201</t>
  </si>
  <si>
    <t>UPS-2202</t>
  </si>
  <si>
    <t>Análise de variáveis por requisito legal</t>
  </si>
  <si>
    <t>AI-85008B</t>
  </si>
  <si>
    <t>AI-85008C</t>
  </si>
  <si>
    <t>AI-85008E</t>
  </si>
  <si>
    <t>AI-85008F</t>
  </si>
  <si>
    <t>Aquecimento da carga auxiliar</t>
  </si>
  <si>
    <t>M-6521002</t>
  </si>
  <si>
    <t>UGH</t>
  </si>
  <si>
    <t>U-2311</t>
  </si>
  <si>
    <t>Aquecimento da carga do 1º estágio da HDS</t>
  </si>
  <si>
    <t>L-2316001</t>
  </si>
  <si>
    <t>HDS</t>
  </si>
  <si>
    <t>U-2316</t>
  </si>
  <si>
    <t>Aquecimento da carga do 2º estágio da HDS</t>
  </si>
  <si>
    <t>L-2316002</t>
  </si>
  <si>
    <t>Aquecimento do cru reduzido</t>
  </si>
  <si>
    <t>PFI</t>
  </si>
  <si>
    <t>DST</t>
  </si>
  <si>
    <t>U-500</t>
  </si>
  <si>
    <t>V-505 (VTF)</t>
  </si>
  <si>
    <t>V-506 (VTI)</t>
  </si>
  <si>
    <t>Aquecimento final da Carga do Reator</t>
  </si>
  <si>
    <t>L-2313001</t>
  </si>
  <si>
    <t>Bombeio da Circulação de Amina Pobre</t>
  </si>
  <si>
    <t>J-602A</t>
  </si>
  <si>
    <t>PCA</t>
  </si>
  <si>
    <t>FCC</t>
  </si>
  <si>
    <t>U-570</t>
  </si>
  <si>
    <t>J-602B</t>
  </si>
  <si>
    <t>Bombeio da circulação de C3- (Torre 1)</t>
  </si>
  <si>
    <t>J-712A</t>
  </si>
  <si>
    <t>PRP</t>
  </si>
  <si>
    <t>U-1200</t>
  </si>
  <si>
    <t>J-712B</t>
  </si>
  <si>
    <t>Bombeio da circulação de C3- (Torre 2)</t>
  </si>
  <si>
    <t>J-1201A</t>
  </si>
  <si>
    <t>J-1201B</t>
  </si>
  <si>
    <t>Bombeio da circulação de fundo.</t>
  </si>
  <si>
    <t>J-588A</t>
  </si>
  <si>
    <t>J-588B</t>
  </si>
  <si>
    <t>Bombeio da circulação de LCO</t>
  </si>
  <si>
    <t>J-510C</t>
  </si>
  <si>
    <t>J-510D</t>
  </si>
  <si>
    <t>Bombeio da circulação de nafta pesada</t>
  </si>
  <si>
    <t>J-586A</t>
  </si>
  <si>
    <t>J-586B</t>
  </si>
  <si>
    <t>Bombeio da retirada de fundo</t>
  </si>
  <si>
    <t>J-585A</t>
  </si>
  <si>
    <t>J-585B</t>
  </si>
  <si>
    <t>Bombeio de água ácida</t>
  </si>
  <si>
    <t>J-0500100A</t>
  </si>
  <si>
    <t>J-0500100B</t>
  </si>
  <si>
    <t>J-2225001A</t>
  </si>
  <si>
    <t>URE</t>
  </si>
  <si>
    <t>U-2225</t>
  </si>
  <si>
    <t>J-2225001B</t>
  </si>
  <si>
    <t>J-2225503A</t>
  </si>
  <si>
    <t>SMS - IEA</t>
  </si>
  <si>
    <t>J-2225503B</t>
  </si>
  <si>
    <t>J-2225506A</t>
  </si>
  <si>
    <t>J-2225506B</t>
  </si>
  <si>
    <t>Bombeio de água bruta</t>
  </si>
  <si>
    <t>J-0300126A</t>
  </si>
  <si>
    <t>Águas</t>
  </si>
  <si>
    <t>J-0300127A</t>
  </si>
  <si>
    <t>J-303C</t>
  </si>
  <si>
    <t>J-303D</t>
  </si>
  <si>
    <t>J-303G</t>
  </si>
  <si>
    <t>J-313C</t>
  </si>
  <si>
    <t>J-313D</t>
  </si>
  <si>
    <t>Bombeio de água de caldeira</t>
  </si>
  <si>
    <t>J-2225004A</t>
  </si>
  <si>
    <t>J-2225004B</t>
  </si>
  <si>
    <t>Bombeio de água de emergência</t>
  </si>
  <si>
    <t>MB-6101A</t>
  </si>
  <si>
    <t>SMS - Emergência</t>
  </si>
  <si>
    <t>MB-6101B</t>
  </si>
  <si>
    <t>MB-6101C</t>
  </si>
  <si>
    <t>Bombeio de Água de lavagem</t>
  </si>
  <si>
    <t>J-2225502A</t>
  </si>
  <si>
    <t>J-2225502B</t>
  </si>
  <si>
    <t>J-2313008A</t>
  </si>
  <si>
    <t>SMS - Integridade</t>
  </si>
  <si>
    <t>J-2313008B</t>
  </si>
  <si>
    <t>Bombeio de água de lavagem do 1º estágio da HDS</t>
  </si>
  <si>
    <t>J-2316005A</t>
  </si>
  <si>
    <t>J-2316005B</t>
  </si>
  <si>
    <t>Bombeio de água de máquinas fria</t>
  </si>
  <si>
    <t>J-348A</t>
  </si>
  <si>
    <t>J-348B</t>
  </si>
  <si>
    <t>Bombeio de água de reposição</t>
  </si>
  <si>
    <t>J-0300117A</t>
  </si>
  <si>
    <t>J-0300117B</t>
  </si>
  <si>
    <t>J-0300117C</t>
  </si>
  <si>
    <t>J-422A</t>
  </si>
  <si>
    <t>Térmica</t>
  </si>
  <si>
    <t>J-422B</t>
  </si>
  <si>
    <t>J-433</t>
  </si>
  <si>
    <t>Bombeio de água de resfriamento fria</t>
  </si>
  <si>
    <t>J-301E</t>
  </si>
  <si>
    <t>J-301F</t>
  </si>
  <si>
    <t>J-301G</t>
  </si>
  <si>
    <t>J-301H</t>
  </si>
  <si>
    <t>J-301J</t>
  </si>
  <si>
    <t>J-350A</t>
  </si>
  <si>
    <t>J-350B</t>
  </si>
  <si>
    <t>J-350C</t>
  </si>
  <si>
    <t>J-350D</t>
  </si>
  <si>
    <t>Bombeio de água desmineralizada</t>
  </si>
  <si>
    <t>J-375A</t>
  </si>
  <si>
    <t>J-375B</t>
  </si>
  <si>
    <t>J-375C</t>
  </si>
  <si>
    <t>Bombeio de Água Potável</t>
  </si>
  <si>
    <t>J-322A</t>
  </si>
  <si>
    <t>J-322B</t>
  </si>
  <si>
    <t>Bombeio de Água Retificada</t>
  </si>
  <si>
    <t>J-5126003A</t>
  </si>
  <si>
    <t>J-5126003B</t>
  </si>
  <si>
    <t>J-643A</t>
  </si>
  <si>
    <t>J-643B</t>
  </si>
  <si>
    <t>Bombeio de alta pressão</t>
  </si>
  <si>
    <t>J-425A</t>
  </si>
  <si>
    <t>J-425B</t>
  </si>
  <si>
    <t>J-425C</t>
  </si>
  <si>
    <t>J-426A</t>
  </si>
  <si>
    <t>J-426B</t>
  </si>
  <si>
    <t>Bombeio de amina gasta</t>
  </si>
  <si>
    <t>J-2225508</t>
  </si>
  <si>
    <t>Bombeio de amina rica</t>
  </si>
  <si>
    <t>J-2225504A</t>
  </si>
  <si>
    <t>J-2225504B</t>
  </si>
  <si>
    <t>Bombeio de carga</t>
  </si>
  <si>
    <t>J-5126001A</t>
  </si>
  <si>
    <t>J-5126001B</t>
  </si>
  <si>
    <t>J-593A</t>
  </si>
  <si>
    <t>J-593B</t>
  </si>
  <si>
    <t>J-640A</t>
  </si>
  <si>
    <t>J-640B</t>
  </si>
  <si>
    <t>J-844A</t>
  </si>
  <si>
    <t>J-844B</t>
  </si>
  <si>
    <t>Bombeio de Carga da U1200</t>
  </si>
  <si>
    <t>J-890A</t>
  </si>
  <si>
    <t>Carga de Unidade de Processo</t>
  </si>
  <si>
    <t>J-890B</t>
  </si>
  <si>
    <t>Bombeio de Carga da U570</t>
  </si>
  <si>
    <t>J-846A</t>
  </si>
  <si>
    <t>J-846B</t>
  </si>
  <si>
    <t>Bombeio de carga de lodo</t>
  </si>
  <si>
    <t>J-380A</t>
  </si>
  <si>
    <t>J-380B</t>
  </si>
  <si>
    <t>J-380C</t>
  </si>
  <si>
    <t>J-380D</t>
  </si>
  <si>
    <t>J-382A</t>
  </si>
  <si>
    <t>J-382B</t>
  </si>
  <si>
    <t>J-383A</t>
  </si>
  <si>
    <t>J-383B</t>
  </si>
  <si>
    <t>J-882A</t>
  </si>
  <si>
    <t>J-882B</t>
  </si>
  <si>
    <t>Bombeio de carga para desmineralização</t>
  </si>
  <si>
    <t>J-5121001A</t>
  </si>
  <si>
    <t>J-5121001B</t>
  </si>
  <si>
    <t>J-5121001C</t>
  </si>
  <si>
    <t>J-5121002A</t>
  </si>
  <si>
    <t>J-5121002B</t>
  </si>
  <si>
    <t>J-5121002C</t>
  </si>
  <si>
    <t>J-5121002D</t>
  </si>
  <si>
    <t>J-5121002E</t>
  </si>
  <si>
    <t>J-5121003A</t>
  </si>
  <si>
    <t>J-5121003B</t>
  </si>
  <si>
    <t>J-5121003C</t>
  </si>
  <si>
    <t>J-5121003D</t>
  </si>
  <si>
    <t>J-5121003E</t>
  </si>
  <si>
    <t>J-5121004A</t>
  </si>
  <si>
    <t>J-5121004B</t>
  </si>
  <si>
    <t>Bombeio de carga principal</t>
  </si>
  <si>
    <t>J-582A</t>
  </si>
  <si>
    <t>J-582B</t>
  </si>
  <si>
    <t>Bombeio de circulação</t>
  </si>
  <si>
    <t>J-1202A</t>
  </si>
  <si>
    <t>J-1202B</t>
  </si>
  <si>
    <t>Bombeio de circulação da amina pobre de baixa pressão</t>
  </si>
  <si>
    <t>J-2313052A</t>
  </si>
  <si>
    <t>J-2313052B</t>
  </si>
  <si>
    <t>Bombeio de circulação da solução de soda</t>
  </si>
  <si>
    <t>J-1207A</t>
  </si>
  <si>
    <t>J-1207B</t>
  </si>
  <si>
    <t>Bombeio de circulação da torre de H2S</t>
  </si>
  <si>
    <t>J-5126004A</t>
  </si>
  <si>
    <t>J-5126004B</t>
  </si>
  <si>
    <t>Bombeio de circulação de água industrial</t>
  </si>
  <si>
    <t>J-1209</t>
  </si>
  <si>
    <t>Bombeio de circulação de Amina pobre</t>
  </si>
  <si>
    <t>J-2225505A</t>
  </si>
  <si>
    <t>J-2225505B</t>
  </si>
  <si>
    <t>Bombeio de circulação de amina rica</t>
  </si>
  <si>
    <t>J-2313051A</t>
  </si>
  <si>
    <t>J-2313051B</t>
  </si>
  <si>
    <t>Bombeio de circulação de topo da torre de NH3</t>
  </si>
  <si>
    <t>J-5126002A</t>
  </si>
  <si>
    <t>J-5126002B</t>
  </si>
  <si>
    <t>J-641A</t>
  </si>
  <si>
    <t>J-641B</t>
  </si>
  <si>
    <t>Bombeio de Condensado</t>
  </si>
  <si>
    <t>J-534A</t>
  </si>
  <si>
    <t>Energia - IES</t>
  </si>
  <si>
    <t>J-534B</t>
  </si>
  <si>
    <t>CAM</t>
  </si>
  <si>
    <t>U-640</t>
  </si>
  <si>
    <t>Bombeio de cru reduzido</t>
  </si>
  <si>
    <t>J-546A</t>
  </si>
  <si>
    <t>J-546B</t>
  </si>
  <si>
    <t>Bombeio de Diesel</t>
  </si>
  <si>
    <t>J-837B</t>
  </si>
  <si>
    <t>J-845</t>
  </si>
  <si>
    <t>Bombeio de diesel DD</t>
  </si>
  <si>
    <t>J-2313001A</t>
  </si>
  <si>
    <t>J-2313001B</t>
  </si>
  <si>
    <t>Bombeio de efluente clarificado</t>
  </si>
  <si>
    <t>J-881A</t>
  </si>
  <si>
    <t>J-881B</t>
  </si>
  <si>
    <t>Bombeio de enxofre líquido</t>
  </si>
  <si>
    <t>J-2225003</t>
  </si>
  <si>
    <t>J-866</t>
  </si>
  <si>
    <t>J-16513</t>
  </si>
  <si>
    <t>J-868</t>
  </si>
  <si>
    <t>Bombeio de fundo da Absorção primaria</t>
  </si>
  <si>
    <t>J-637A</t>
  </si>
  <si>
    <t>J-637B</t>
  </si>
  <si>
    <t>Bombeio de fundo da retificadora</t>
  </si>
  <si>
    <t>J-2316003A</t>
  </si>
  <si>
    <t>J-2316003B</t>
  </si>
  <si>
    <t>Bombeio de fundo da torre</t>
  </si>
  <si>
    <t>J-2313005A</t>
  </si>
  <si>
    <t>J-2313005B</t>
  </si>
  <si>
    <t>Bombeio de fundo do vaso separador a frio</t>
  </si>
  <si>
    <t>J-2316002A</t>
  </si>
  <si>
    <t>J-2316002B</t>
  </si>
  <si>
    <t>Bombeio de Gasolina</t>
  </si>
  <si>
    <t>J-837A</t>
  </si>
  <si>
    <t>J-895A</t>
  </si>
  <si>
    <t>J-895B</t>
  </si>
  <si>
    <t>Bombeio de GLP</t>
  </si>
  <si>
    <t>B-4501A</t>
  </si>
  <si>
    <t>B-4501B</t>
  </si>
  <si>
    <t>J-0800109A</t>
  </si>
  <si>
    <t>J-0800109B</t>
  </si>
  <si>
    <t>J-636A</t>
  </si>
  <si>
    <t>J-636B</t>
  </si>
  <si>
    <t>J-809</t>
  </si>
  <si>
    <t>Bombeio de GLP para torre despropanizadora</t>
  </si>
  <si>
    <t>J-701C</t>
  </si>
  <si>
    <t>J-701D</t>
  </si>
  <si>
    <t>Bombeio de nafta</t>
  </si>
  <si>
    <t>J-599A</t>
  </si>
  <si>
    <t>J-599B</t>
  </si>
  <si>
    <t>J-601A</t>
  </si>
  <si>
    <t>J-601B</t>
  </si>
  <si>
    <t>Bombeio de NC</t>
  </si>
  <si>
    <t>J-2316001A</t>
  </si>
  <si>
    <t>J-2316001B</t>
  </si>
  <si>
    <t>Bombeio de Óleo Combustível</t>
  </si>
  <si>
    <t>J-836</t>
  </si>
  <si>
    <t>J-879</t>
  </si>
  <si>
    <t>Bombeio de óleo de acionamento da LV-571</t>
  </si>
  <si>
    <t>J-0570101A</t>
  </si>
  <si>
    <t>J-0570101B</t>
  </si>
  <si>
    <t>Bombeio de óleo de acionamento da TV-572</t>
  </si>
  <si>
    <t>J-0570103A</t>
  </si>
  <si>
    <t>J-0570103B</t>
  </si>
  <si>
    <t>Bombeio de óleo de acionamento da VS-573A</t>
  </si>
  <si>
    <t>J-0570110A</t>
  </si>
  <si>
    <t>J-0570110B</t>
  </si>
  <si>
    <t>Bombeio de óleo de acionamento da VS-573B</t>
  </si>
  <si>
    <t>J-0570111A</t>
  </si>
  <si>
    <t>J-0570111B</t>
  </si>
  <si>
    <t>Bombeio de óleo recuperado</t>
  </si>
  <si>
    <t>J-859A</t>
  </si>
  <si>
    <t>J-859B</t>
  </si>
  <si>
    <t>Bombeio de produto final</t>
  </si>
  <si>
    <t>J-2313007A</t>
  </si>
  <si>
    <t>J-2313007B</t>
  </si>
  <si>
    <t>Bombeio de produto químico</t>
  </si>
  <si>
    <t>J-0300108</t>
  </si>
  <si>
    <t>J-0300109</t>
  </si>
  <si>
    <t>Z-0300013</t>
  </si>
  <si>
    <t>Z-0300014</t>
  </si>
  <si>
    <t>Bombeio de produtos químicos</t>
  </si>
  <si>
    <t>J-619A</t>
  </si>
  <si>
    <t>J-619B</t>
  </si>
  <si>
    <t>J-621</t>
  </si>
  <si>
    <t>Bombeio de propano</t>
  </si>
  <si>
    <t>J-1200010A</t>
  </si>
  <si>
    <t>J-1200010B</t>
  </si>
  <si>
    <t>Bombeio de Propeno</t>
  </si>
  <si>
    <t>J-1203A</t>
  </si>
  <si>
    <t>J-1203B</t>
  </si>
  <si>
    <t>J-891A</t>
  </si>
  <si>
    <t>Expedição para a Braskem</t>
  </si>
  <si>
    <t>J-891B</t>
  </si>
  <si>
    <t>Bombeio de propeno grau polímero</t>
  </si>
  <si>
    <t>J-1204A</t>
  </si>
  <si>
    <t>J-1204B</t>
  </si>
  <si>
    <t>Bombeio de RAT</t>
  </si>
  <si>
    <t>J-587A</t>
  </si>
  <si>
    <t>J-587B</t>
  </si>
  <si>
    <t>Bombeio de recirculação da selagem</t>
  </si>
  <si>
    <t>J-878A</t>
  </si>
  <si>
    <t>Alívio e Tocha</t>
  </si>
  <si>
    <t>J-878B</t>
  </si>
  <si>
    <t>Bombeio de recirculação de lodo para o reator biológico</t>
  </si>
  <si>
    <t>J-860A</t>
  </si>
  <si>
    <t>J-860B</t>
  </si>
  <si>
    <t>Bombeio de refluxo da regeneradora</t>
  </si>
  <si>
    <t>J-2313053A</t>
  </si>
  <si>
    <t>J-2313053B</t>
  </si>
  <si>
    <t>Bombeio de refluxo de topo</t>
  </si>
  <si>
    <t>J-0500114A</t>
  </si>
  <si>
    <t>J-0500114B</t>
  </si>
  <si>
    <t>J-570A</t>
  </si>
  <si>
    <t>J-570B</t>
  </si>
  <si>
    <t>J-597A</t>
  </si>
  <si>
    <t>J-597B</t>
  </si>
  <si>
    <t>Bombeio de refluxo de topo da retificadora</t>
  </si>
  <si>
    <t>J-2313002A</t>
  </si>
  <si>
    <t>J-2313002B</t>
  </si>
  <si>
    <t>Bombeio de refluxo intermediário</t>
  </si>
  <si>
    <t>J-548A</t>
  </si>
  <si>
    <t>J-548B</t>
  </si>
  <si>
    <t>Bombeio de refluxo regeneradora</t>
  </si>
  <si>
    <t>J-605A</t>
  </si>
  <si>
    <t>J-605B</t>
  </si>
  <si>
    <t>Bombeio de salmoura</t>
  </si>
  <si>
    <t>J-543A</t>
  </si>
  <si>
    <t>J-543B</t>
  </si>
  <si>
    <t>Bombeio de soda</t>
  </si>
  <si>
    <t>J-0600058A</t>
  </si>
  <si>
    <t>J-0600058B</t>
  </si>
  <si>
    <t>J-2225501A</t>
  </si>
  <si>
    <t>J-2225501B</t>
  </si>
  <si>
    <t>Bombeio de solução de limpeza de membranas</t>
  </si>
  <si>
    <t>J-5121005A</t>
  </si>
  <si>
    <t>J-5121005B</t>
  </si>
  <si>
    <t>Bombeio de solução de polímero</t>
  </si>
  <si>
    <t>J-381A</t>
  </si>
  <si>
    <t>J-381B</t>
  </si>
  <si>
    <t>J-381C</t>
  </si>
  <si>
    <t>J-381D</t>
  </si>
  <si>
    <t>Bombeio de solução de regeneração</t>
  </si>
  <si>
    <t>J-377A</t>
  </si>
  <si>
    <t>J-377B</t>
  </si>
  <si>
    <t>J-378A</t>
  </si>
  <si>
    <t>J-378B</t>
  </si>
  <si>
    <t>Bombeio de transferência de C3-</t>
  </si>
  <si>
    <t>J-720A</t>
  </si>
  <si>
    <t>J-720B</t>
  </si>
  <si>
    <t>Bombeio do blowdown</t>
  </si>
  <si>
    <t>J-877A</t>
  </si>
  <si>
    <t>Bombeio do poço de drenagem</t>
  </si>
  <si>
    <t>J-885A</t>
  </si>
  <si>
    <t>J-885B</t>
  </si>
  <si>
    <t>Bombeio do refluxo de topo da estabilizadora</t>
  </si>
  <si>
    <t>J-2316004A</t>
  </si>
  <si>
    <t>J-2316004B</t>
  </si>
  <si>
    <t>Bombeio p/ Alagamento de Esferas</t>
  </si>
  <si>
    <t>J-842</t>
  </si>
  <si>
    <t>J-892</t>
  </si>
  <si>
    <t>Bombeio para descarte de lodo</t>
  </si>
  <si>
    <t>J-849A</t>
  </si>
  <si>
    <t>J-849B</t>
  </si>
  <si>
    <t>J-0800123B</t>
  </si>
  <si>
    <t>Clarificação de efluente</t>
  </si>
  <si>
    <t>T-816A</t>
  </si>
  <si>
    <t>T-816B</t>
  </si>
  <si>
    <t>Compressão de Ar</t>
  </si>
  <si>
    <t>J-573A</t>
  </si>
  <si>
    <t>J-573B</t>
  </si>
  <si>
    <t>J-575A</t>
  </si>
  <si>
    <t>J-575B</t>
  </si>
  <si>
    <t>V-2225001A</t>
  </si>
  <si>
    <t>V-2225001B</t>
  </si>
  <si>
    <t>V-413A</t>
  </si>
  <si>
    <t>V-413B</t>
  </si>
  <si>
    <t>V-415</t>
  </si>
  <si>
    <t>V-416A</t>
  </si>
  <si>
    <t>V-416B</t>
  </si>
  <si>
    <t>V-571</t>
  </si>
  <si>
    <t>V-833A</t>
  </si>
  <si>
    <t>V-833B</t>
  </si>
  <si>
    <t>V-833C</t>
  </si>
  <si>
    <t>V-833D</t>
  </si>
  <si>
    <t>V-833E</t>
  </si>
  <si>
    <t>V-833F</t>
  </si>
  <si>
    <t>V-833G</t>
  </si>
  <si>
    <t>V-833H</t>
  </si>
  <si>
    <t>Compressão de ar para a saturação de efluente</t>
  </si>
  <si>
    <t>V-829A</t>
  </si>
  <si>
    <t>V-829B</t>
  </si>
  <si>
    <t>Compressão de C3=</t>
  </si>
  <si>
    <t>J-1210A</t>
  </si>
  <si>
    <t>J-1210B</t>
  </si>
  <si>
    <t>V-1201</t>
  </si>
  <si>
    <t>Compressão de Gases</t>
  </si>
  <si>
    <t>J-0600002A</t>
  </si>
  <si>
    <t>J-0600002B</t>
  </si>
  <si>
    <t>J-603A</t>
  </si>
  <si>
    <t>J-603B</t>
  </si>
  <si>
    <t>J-633A</t>
  </si>
  <si>
    <t>J-633B</t>
  </si>
  <si>
    <t>J-634A</t>
  </si>
  <si>
    <t>J-634B</t>
  </si>
  <si>
    <t>J-638A</t>
  </si>
  <si>
    <t>J-638B</t>
  </si>
  <si>
    <t>V-603</t>
  </si>
  <si>
    <t>Compressão de GN</t>
  </si>
  <si>
    <t>V-6521001A</t>
  </si>
  <si>
    <t>V-6521001B</t>
  </si>
  <si>
    <t>Compressão de H2</t>
  </si>
  <si>
    <t>V-2313001A</t>
  </si>
  <si>
    <t>V-2313001B</t>
  </si>
  <si>
    <t>V-2316002A</t>
  </si>
  <si>
    <t>V-2316002B</t>
  </si>
  <si>
    <t>J-2313015</t>
  </si>
  <si>
    <t>J-2316010</t>
  </si>
  <si>
    <t>J-2316011</t>
  </si>
  <si>
    <t>V-2313002</t>
  </si>
  <si>
    <t>V-2316001</t>
  </si>
  <si>
    <t>Conversão</t>
  </si>
  <si>
    <t>Descarte Elétrico</t>
  </si>
  <si>
    <t>ACE01</t>
  </si>
  <si>
    <t>Distribuição 13.8 kV (PN-6311)</t>
  </si>
  <si>
    <t>DJ-1A</t>
  </si>
  <si>
    <t>DJ-1B</t>
  </si>
  <si>
    <t>DJ-2A</t>
  </si>
  <si>
    <t>DJ-2B</t>
  </si>
  <si>
    <t>DJ-3A</t>
  </si>
  <si>
    <t>DJ-3B</t>
  </si>
  <si>
    <t>DJ-4A</t>
  </si>
  <si>
    <t>DJ-4B</t>
  </si>
  <si>
    <t>DJ-5A</t>
  </si>
  <si>
    <t>DJ-5B</t>
  </si>
  <si>
    <t>DJ-6A</t>
  </si>
  <si>
    <t>DJ-6B</t>
  </si>
  <si>
    <t>DJ-7A</t>
  </si>
  <si>
    <t>DJ-7B</t>
  </si>
  <si>
    <t>DJ-8A</t>
  </si>
  <si>
    <t>DJ-8B</t>
  </si>
  <si>
    <t>DJ-9A</t>
  </si>
  <si>
    <t>DJ-A</t>
  </si>
  <si>
    <t>DJ-B</t>
  </si>
  <si>
    <t>DJ-C</t>
  </si>
  <si>
    <t>DJ-D</t>
  </si>
  <si>
    <t>DJ-E</t>
  </si>
  <si>
    <t>Distribuição em Alta Tensão - 88 kV</t>
  </si>
  <si>
    <t>TF-6503 A</t>
  </si>
  <si>
    <t>TF-6503 B</t>
  </si>
  <si>
    <t>J-0800124A</t>
  </si>
  <si>
    <t>Ejeção de Gases do Tanque de Enxofre</t>
  </si>
  <si>
    <t>J-2225005</t>
  </si>
  <si>
    <t>Filtração da carga</t>
  </si>
  <si>
    <t>O-2316001A</t>
  </si>
  <si>
    <t>O-2316001B</t>
  </si>
  <si>
    <t>Filtração em areia</t>
  </si>
  <si>
    <t>O-5121001A</t>
  </si>
  <si>
    <t>O-5121001B</t>
  </si>
  <si>
    <t>O-5121001C</t>
  </si>
  <si>
    <t>Filtração em Cartucho</t>
  </si>
  <si>
    <t>O-5121003A</t>
  </si>
  <si>
    <t>O-5121003B</t>
  </si>
  <si>
    <t>O-5121003C</t>
  </si>
  <si>
    <t>O-5121003D</t>
  </si>
  <si>
    <t>O-5121003E</t>
  </si>
  <si>
    <t>Filtração em Carvão Ativado</t>
  </si>
  <si>
    <t>O-5121002A</t>
  </si>
  <si>
    <t>O-5121002B</t>
  </si>
  <si>
    <t>O-5121002C</t>
  </si>
  <si>
    <t>Geração de Emergência</t>
  </si>
  <si>
    <t>S-2011</t>
  </si>
  <si>
    <t>S-404</t>
  </si>
  <si>
    <t>S-415</t>
  </si>
  <si>
    <t>S-5140001</t>
  </si>
  <si>
    <t>Geração Elétrica</t>
  </si>
  <si>
    <t>S-5132001</t>
  </si>
  <si>
    <t>S-571</t>
  </si>
  <si>
    <t>Ignição</t>
  </si>
  <si>
    <t>PNL-101</t>
  </si>
  <si>
    <t>Ilhamento</t>
  </si>
  <si>
    <t>PN-6311</t>
  </si>
  <si>
    <t>Injeção de alcalinizante</t>
  </si>
  <si>
    <t>J-884A</t>
  </si>
  <si>
    <t>J-884B</t>
  </si>
  <si>
    <t>Injeção de produto químico</t>
  </si>
  <si>
    <t>J-413</t>
  </si>
  <si>
    <t>J-423A</t>
  </si>
  <si>
    <t>J-423B</t>
  </si>
  <si>
    <t>MB-6304A</t>
  </si>
  <si>
    <t>MB-6304B</t>
  </si>
  <si>
    <t>Preparação de produto químico - polímero</t>
  </si>
  <si>
    <t>O-357A</t>
  </si>
  <si>
    <t>O-357B</t>
  </si>
  <si>
    <t>Purificação de H2</t>
  </si>
  <si>
    <t>O-2311501</t>
  </si>
  <si>
    <t>O-2311502</t>
  </si>
  <si>
    <t>O-2311503</t>
  </si>
  <si>
    <t>O-2311504</t>
  </si>
  <si>
    <t>O-2311505</t>
  </si>
  <si>
    <t>O-2311506</t>
  </si>
  <si>
    <t>T-815B</t>
  </si>
  <si>
    <t>T-815C</t>
  </si>
  <si>
    <t>T-815D</t>
  </si>
  <si>
    <t>T-815E</t>
  </si>
  <si>
    <t>T-815F</t>
  </si>
  <si>
    <t>T-815G</t>
  </si>
  <si>
    <t>T-815H</t>
  </si>
  <si>
    <t>Recepção de Entrada - 88 kV</t>
  </si>
  <si>
    <t>Bay Entrada - Interligação</t>
  </si>
  <si>
    <t>Redução de Pressão de V30 p/V5</t>
  </si>
  <si>
    <t>PV-40138D</t>
  </si>
  <si>
    <t>PV-40138E</t>
  </si>
  <si>
    <t>Redução de Pressão de V5 p/ Atmosfera</t>
  </si>
  <si>
    <t>PV-40138B</t>
  </si>
  <si>
    <t>Redução de Pressão de V5 p/ Condensação</t>
  </si>
  <si>
    <t>PV-40138C</t>
  </si>
  <si>
    <t>PV-40138F</t>
  </si>
  <si>
    <t>Reforma da carga</t>
  </si>
  <si>
    <t>L-2311001</t>
  </si>
  <si>
    <t>V-2311001AM</t>
  </si>
  <si>
    <t>V-2311001AT</t>
  </si>
  <si>
    <t>V-2311002AM</t>
  </si>
  <si>
    <t>V-2311002AT</t>
  </si>
  <si>
    <t>Resfriamento de água</t>
  </si>
  <si>
    <t>V-301E</t>
  </si>
  <si>
    <t>V-301F</t>
  </si>
  <si>
    <t>V-301G</t>
  </si>
  <si>
    <t>V-301H</t>
  </si>
  <si>
    <t>V-308A</t>
  </si>
  <si>
    <t>V-308B</t>
  </si>
  <si>
    <t>V-308C</t>
  </si>
  <si>
    <t>V-308D</t>
  </si>
  <si>
    <t>V-308E</t>
  </si>
  <si>
    <t>V-308F</t>
  </si>
  <si>
    <t>V-308G</t>
  </si>
  <si>
    <t>V-308H</t>
  </si>
  <si>
    <t>V-317</t>
  </si>
  <si>
    <t>SE CAFOR (SE-201)</t>
  </si>
  <si>
    <t>CH-2010-A</t>
  </si>
  <si>
    <t>CH-2010-B</t>
  </si>
  <si>
    <t>CH-2011-A</t>
  </si>
  <si>
    <t>CH-2011-B</t>
  </si>
  <si>
    <t>CH-2012-A</t>
  </si>
  <si>
    <t>CH-2012-B</t>
  </si>
  <si>
    <t>DJ-2011-A</t>
  </si>
  <si>
    <t>DJ-2011-B</t>
  </si>
  <si>
    <t>DJ-2011-C</t>
  </si>
  <si>
    <t>DJ-2012-A</t>
  </si>
  <si>
    <t>DJ-2012-B</t>
  </si>
  <si>
    <t>DJ-2012-C</t>
  </si>
  <si>
    <t>PN-2011</t>
  </si>
  <si>
    <t>PN-2012</t>
  </si>
  <si>
    <t>TF-2011-A</t>
  </si>
  <si>
    <t>TF-2011-B</t>
  </si>
  <si>
    <t>TF-2012-A</t>
  </si>
  <si>
    <t>TF-2012-B</t>
  </si>
  <si>
    <t>SE DESTILAÇÃO (SE-200)</t>
  </si>
  <si>
    <t>CH-2000-A</t>
  </si>
  <si>
    <t>CH-2000-B</t>
  </si>
  <si>
    <t>CH-2001-A</t>
  </si>
  <si>
    <t>CH-2001-B</t>
  </si>
  <si>
    <t>CH-2002-A</t>
  </si>
  <si>
    <t>CH-2002-B</t>
  </si>
  <si>
    <t>DJ-2001</t>
  </si>
  <si>
    <t>DJ-2002-A</t>
  </si>
  <si>
    <t>DJ-2002-B</t>
  </si>
  <si>
    <t>DJ-2002-C</t>
  </si>
  <si>
    <t>PN-2001</t>
  </si>
  <si>
    <t>PN-2002</t>
  </si>
  <si>
    <t>TF-2001</t>
  </si>
  <si>
    <t>TF-2002-A</t>
  </si>
  <si>
    <t>TF-2002-B</t>
  </si>
  <si>
    <t>SE HDT-HDS-URE (SE-280)</t>
  </si>
  <si>
    <t>DJ-28000-C-A</t>
  </si>
  <si>
    <t>DJ-28000-C-B</t>
  </si>
  <si>
    <t>DJ-28000-C-C</t>
  </si>
  <si>
    <t>DJ-28001-A</t>
  </si>
  <si>
    <t>DJ-28001-B</t>
  </si>
  <si>
    <t>DJ-28001-C</t>
  </si>
  <si>
    <t>DJ-28002-A</t>
  </si>
  <si>
    <t>DJ-28002-B</t>
  </si>
  <si>
    <t>DJ-28002-C</t>
  </si>
  <si>
    <t>DJ-28012-A</t>
  </si>
  <si>
    <t>DJ-28012-B</t>
  </si>
  <si>
    <t>DJ-28012-C</t>
  </si>
  <si>
    <t>PN-28000-A</t>
  </si>
  <si>
    <t>PN-28000-B</t>
  </si>
  <si>
    <t>PN-28000-C</t>
  </si>
  <si>
    <t>PN-28001</t>
  </si>
  <si>
    <t>PN-28002</t>
  </si>
  <si>
    <t>PN-28012</t>
  </si>
  <si>
    <t>TF-28001-A</t>
  </si>
  <si>
    <t>TF-28001-B</t>
  </si>
  <si>
    <t>TF-28002-A</t>
  </si>
  <si>
    <t>TF-28002-B</t>
  </si>
  <si>
    <t>TF-28012-A</t>
  </si>
  <si>
    <t>TF-28012-B</t>
  </si>
  <si>
    <t>SE OSMOSE II - CLORO (SE-130)</t>
  </si>
  <si>
    <t>CH-1300-1</t>
  </si>
  <si>
    <t>CH-1300-2</t>
  </si>
  <si>
    <t>CH-1300-A</t>
  </si>
  <si>
    <t>CH-1300-B</t>
  </si>
  <si>
    <t>DJ-13001-A</t>
  </si>
  <si>
    <t>DJ-13001-B</t>
  </si>
  <si>
    <t>DJ-13001-C</t>
  </si>
  <si>
    <t>PN-13001</t>
  </si>
  <si>
    <t>TF-13001-A</t>
  </si>
  <si>
    <t>TF-13001-B</t>
  </si>
  <si>
    <t>SE PROPENO (SE-301)</t>
  </si>
  <si>
    <t>CH-3010-A</t>
  </si>
  <si>
    <t>CH-3010-B</t>
  </si>
  <si>
    <t>CH-3011-A</t>
  </si>
  <si>
    <t>CH-3011-B</t>
  </si>
  <si>
    <t>CH-3012-A</t>
  </si>
  <si>
    <t>CH-3012-B</t>
  </si>
  <si>
    <t>DJ-3011-A</t>
  </si>
  <si>
    <t>DJ-3011-B</t>
  </si>
  <si>
    <t>DJ-3011-C</t>
  </si>
  <si>
    <t>DJ-3012-A</t>
  </si>
  <si>
    <t>DJ-3012-B</t>
  </si>
  <si>
    <t>DJ-3012-C</t>
  </si>
  <si>
    <t>PN-3011</t>
  </si>
  <si>
    <t>PN-3012</t>
  </si>
  <si>
    <t>PN-3013</t>
  </si>
  <si>
    <t>TF-3011-A</t>
  </si>
  <si>
    <t>TF-3011-B</t>
  </si>
  <si>
    <t>TF-3012-A</t>
  </si>
  <si>
    <t>TF-3012-B</t>
  </si>
  <si>
    <t>SE TORRES (SE-612)</t>
  </si>
  <si>
    <t>CH-6120-A</t>
  </si>
  <si>
    <t>CH-6120-B</t>
  </si>
  <si>
    <t>CH-6121-A</t>
  </si>
  <si>
    <t>CH-6121-B</t>
  </si>
  <si>
    <t>CH-6122-A</t>
  </si>
  <si>
    <t>CH-6122-B</t>
  </si>
  <si>
    <t>DJ-6121-A</t>
  </si>
  <si>
    <t>DJ-6121-B</t>
  </si>
  <si>
    <t>DJ-6121-C</t>
  </si>
  <si>
    <t>DJ-6122-A</t>
  </si>
  <si>
    <t>DJ-6122-B</t>
  </si>
  <si>
    <t>DJ-6122-C</t>
  </si>
  <si>
    <t>PN-6121</t>
  </si>
  <si>
    <t>PN-6122</t>
  </si>
  <si>
    <t>TF-6121-A</t>
  </si>
  <si>
    <t>TF-6121-B</t>
  </si>
  <si>
    <t>TF-6122-A</t>
  </si>
  <si>
    <t>TF-6122-B</t>
  </si>
  <si>
    <t>SE TRANSFERÊNCIA E ESTOCAGEM - ETDI (SE-742)</t>
  </si>
  <si>
    <t>CH-7420-2</t>
  </si>
  <si>
    <t>CH-7420-3</t>
  </si>
  <si>
    <t>CH-7420-A</t>
  </si>
  <si>
    <t>CH-7420-B</t>
  </si>
  <si>
    <t>DJ-7421</t>
  </si>
  <si>
    <t>DJ-7423</t>
  </si>
  <si>
    <t>DJ-7424</t>
  </si>
  <si>
    <t>PN-7421</t>
  </si>
  <si>
    <t>PN-7423</t>
  </si>
  <si>
    <t>PN-7424</t>
  </si>
  <si>
    <t>TF-7421</t>
  </si>
  <si>
    <t>TF-7423</t>
  </si>
  <si>
    <t>TF-7424</t>
  </si>
  <si>
    <t>SE Transferência e Estocagem (SE-450)</t>
  </si>
  <si>
    <t>CH-4500-2</t>
  </si>
  <si>
    <t>CH-4500-3</t>
  </si>
  <si>
    <t>CH-4500-A</t>
  </si>
  <si>
    <t>CH-4500-B</t>
  </si>
  <si>
    <t>DJ-4501</t>
  </si>
  <si>
    <t>PN-4501</t>
  </si>
  <si>
    <t>PN-4502</t>
  </si>
  <si>
    <t>TF-4501</t>
  </si>
  <si>
    <t>TF-4502</t>
  </si>
  <si>
    <t>SE TRANSFERÊNCIA E ESTOCAGEM (SE-620)</t>
  </si>
  <si>
    <t>CH-620_01</t>
  </si>
  <si>
    <t>CH-620_02</t>
  </si>
  <si>
    <t>CH-620_03</t>
  </si>
  <si>
    <t>CH-6200-A</t>
  </si>
  <si>
    <t>CH-6200-B</t>
  </si>
  <si>
    <t>DJ-6201</t>
  </si>
  <si>
    <t>DJ-6202</t>
  </si>
  <si>
    <t>DJ-6205</t>
  </si>
  <si>
    <t>PN-4801</t>
  </si>
  <si>
    <t>PN-6201</t>
  </si>
  <si>
    <t>PN-6202</t>
  </si>
  <si>
    <t>PN-6205</t>
  </si>
  <si>
    <t>TF-4801</t>
  </si>
  <si>
    <t>TF-6201</t>
  </si>
  <si>
    <t>TF-6202</t>
  </si>
  <si>
    <t>SE URFCC (SE-220)</t>
  </si>
  <si>
    <t>CH-2200-A</t>
  </si>
  <si>
    <t>CH-2200-B</t>
  </si>
  <si>
    <t>CH-2201-A</t>
  </si>
  <si>
    <t>CH-2201-B</t>
  </si>
  <si>
    <t>CH-2202-A</t>
  </si>
  <si>
    <t>CH-2202-B</t>
  </si>
  <si>
    <t>DJ-2201-A</t>
  </si>
  <si>
    <t>DJ-2201-B</t>
  </si>
  <si>
    <t>DJ-2201-C</t>
  </si>
  <si>
    <t>DJ-2202-A</t>
  </si>
  <si>
    <t>DJ-2202-B</t>
  </si>
  <si>
    <t>DJ-2202-C</t>
  </si>
  <si>
    <t>PN-2201</t>
  </si>
  <si>
    <t>PN-2202</t>
  </si>
  <si>
    <t>TF-2201-A</t>
  </si>
  <si>
    <t>TF-2201-B</t>
  </si>
  <si>
    <t>TF-2202-A</t>
  </si>
  <si>
    <t>TF-2202-B</t>
  </si>
  <si>
    <t>Secagem de ar</t>
  </si>
  <si>
    <t>Z-413A</t>
  </si>
  <si>
    <t>Z-413B</t>
  </si>
  <si>
    <t>Z-415A</t>
  </si>
  <si>
    <t>Z-415B</t>
  </si>
  <si>
    <t>Z-417</t>
  </si>
  <si>
    <t>Selagem de bombas com óleo</t>
  </si>
  <si>
    <t>J-533</t>
  </si>
  <si>
    <t>J-806</t>
  </si>
  <si>
    <t>Separação de hidrocarboneto</t>
  </si>
  <si>
    <t>O-803A</t>
  </si>
  <si>
    <t>O-803B</t>
  </si>
  <si>
    <t>T-812</t>
  </si>
  <si>
    <t>T-817A</t>
  </si>
  <si>
    <t>T-817B</t>
  </si>
  <si>
    <t>T-817C</t>
  </si>
  <si>
    <t>T-817D</t>
  </si>
  <si>
    <t>T-817E</t>
  </si>
  <si>
    <t>T-817F</t>
  </si>
  <si>
    <t>Separação de íons por osmose inversa - 1º Passe</t>
  </si>
  <si>
    <t>O-5121004A</t>
  </si>
  <si>
    <t>O-5121004B</t>
  </si>
  <si>
    <t>O-5121004C</t>
  </si>
  <si>
    <t>O-5121004D</t>
  </si>
  <si>
    <t>O-5121004E</t>
  </si>
  <si>
    <t>Separação de íons por osmose inversa - 2º Passe</t>
  </si>
  <si>
    <t>O-5121005A</t>
  </si>
  <si>
    <t>O-5121005B</t>
  </si>
  <si>
    <t>O-5121005C</t>
  </si>
  <si>
    <t>O-5121005D</t>
  </si>
  <si>
    <t>O-5121005E</t>
  </si>
  <si>
    <t>Separação de íons por resina de troca catiônica</t>
  </si>
  <si>
    <t>O-353A</t>
  </si>
  <si>
    <t>O-353B</t>
  </si>
  <si>
    <t>O-353C</t>
  </si>
  <si>
    <t>O-353D</t>
  </si>
  <si>
    <t>Separação de lodo</t>
  </si>
  <si>
    <t>Z-303A</t>
  </si>
  <si>
    <t>Z-303B</t>
  </si>
  <si>
    <t>Separação de sal, água e sólidos do petróleo</t>
  </si>
  <si>
    <t>Sopragem de Ar</t>
  </si>
  <si>
    <t>V-2225501</t>
  </si>
  <si>
    <t>Sopragem de ar de combustão</t>
  </si>
  <si>
    <t>V-642A</t>
  </si>
  <si>
    <t>V-642B</t>
  </si>
  <si>
    <t>Sopragem de ar de reoxidação</t>
  </si>
  <si>
    <t>V-641A</t>
  </si>
  <si>
    <t>V-641B</t>
  </si>
  <si>
    <t>Transferência de produto químico</t>
  </si>
  <si>
    <t>J-0300107</t>
  </si>
  <si>
    <t>J-0300111</t>
  </si>
  <si>
    <t>Z-0300009</t>
  </si>
  <si>
    <t>Z-0300010</t>
  </si>
  <si>
    <t>Troca térmica de Topo</t>
  </si>
  <si>
    <t>CJ MV-532A</t>
  </si>
  <si>
    <t>CJ MV-532B</t>
  </si>
  <si>
    <t>CJ MV-532C</t>
  </si>
  <si>
    <t>CJ MV-532D</t>
  </si>
  <si>
    <t>CJ MV-533A</t>
  </si>
  <si>
    <t>CJ MV-533B</t>
  </si>
  <si>
    <t>CJ MV-533C</t>
  </si>
  <si>
    <t>CJ MV-533D</t>
  </si>
  <si>
    <t>V-509A</t>
  </si>
  <si>
    <t>V-509B</t>
  </si>
  <si>
    <t>V-509C</t>
  </si>
  <si>
    <t>V-509D</t>
  </si>
  <si>
    <t>V-518A</t>
  </si>
  <si>
    <t>V-518B</t>
  </si>
  <si>
    <t>V-518C</t>
  </si>
  <si>
    <t>V-518D</t>
  </si>
  <si>
    <t>V-614A</t>
  </si>
  <si>
    <t>V-614B</t>
  </si>
  <si>
    <t>V-614C</t>
  </si>
  <si>
    <t>V-614D</t>
  </si>
  <si>
    <t>Troca térmica de topo da estabilizadora</t>
  </si>
  <si>
    <t>V-2316006A</t>
  </si>
  <si>
    <t>V-2316006B</t>
  </si>
  <si>
    <t>Troca Térmica de topo da retificadora</t>
  </si>
  <si>
    <t>V-2313008A</t>
  </si>
  <si>
    <t>V-2313008B</t>
  </si>
  <si>
    <t>Troca térmica do efluente da conversão de CO</t>
  </si>
  <si>
    <t>V-2311005A</t>
  </si>
  <si>
    <t>V-2311005B</t>
  </si>
  <si>
    <t>Troca Térmica do efluente do reator</t>
  </si>
  <si>
    <t>V-2313006A</t>
  </si>
  <si>
    <t>V-2313006B</t>
  </si>
  <si>
    <t>V-2313006C</t>
  </si>
  <si>
    <t>V-2313006D</t>
  </si>
  <si>
    <t>V-2316003A</t>
  </si>
  <si>
    <t>V-2316003B</t>
  </si>
  <si>
    <t>V-2316003C</t>
  </si>
  <si>
    <t>V-2316003D</t>
  </si>
  <si>
    <t>V-2316004A</t>
  </si>
  <si>
    <t>V-2316004B</t>
  </si>
  <si>
    <t>V-2316004C</t>
  </si>
  <si>
    <t>V-2316004D</t>
  </si>
  <si>
    <t>Troca térmica do produto estabilizado</t>
  </si>
  <si>
    <t>V-2316005A</t>
  </si>
  <si>
    <t>V-2316005B</t>
  </si>
  <si>
    <t>Ventilação - VTF</t>
  </si>
  <si>
    <t>V-402BT</t>
  </si>
  <si>
    <t>V-402M</t>
  </si>
  <si>
    <t>V-414A</t>
  </si>
  <si>
    <t>V-414B</t>
  </si>
  <si>
    <t>V-5132002A</t>
  </si>
  <si>
    <t>V-5132002B</t>
  </si>
  <si>
    <t>2025.36</t>
  </si>
  <si>
    <t>2025.35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</si>
</sst>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yyyy\-mm\-dd;@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4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4" fontId="0" fillId="0" borderId="2" xfId="0" applyNumberFormat="1" applyBorder="1"/>
    <xf numFmtId="1" fontId="0" fillId="5" borderId="2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2" borderId="0" xfId="0" applyNumberFormat="1" applyFont="1" applyFill="1"/>
    <xf numFmtId="1" fontId="4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0" fontId="4" fillId="2" borderId="0" xfId="2" applyNumberFormat="1" applyFont="1" applyFill="1" applyAlignment="1">
      <alignment horizontal="center" vertical="center"/>
    </xf>
    <xf numFmtId="10" fontId="0" fillId="0" borderId="2" xfId="2" applyNumberFormat="1" applyFont="1" applyBorder="1" applyAlignment="1">
      <alignment horizontal="center" vertical="center"/>
    </xf>
    <xf numFmtId="10" fontId="0" fillId="0" borderId="0" xfId="2" applyNumberFormat="1" applyFont="1"/>
    <xf numFmtId="0" fontId="4" fillId="6" borderId="0" xfId="0" applyFont="1" applyFill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0" fontId="4" fillId="6" borderId="0" xfId="2" applyNumberFormat="1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9" fontId="0" fillId="0" borderId="2" xfId="1" applyNumberFormat="1" applyFont="1" applyBorder="1" applyAlignment="1">
      <alignment horizontal="center" vertical="center"/>
    </xf>
    <xf numFmtId="14" fontId="0" fillId="5" borderId="2" xfId="0" applyNumberForma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6" borderId="3" xfId="0" applyFont="1" applyFill="1" applyBorder="1" applyAlignment="1">
      <alignment horizontal="center" vertical="center"/>
    </xf>
    <xf numFmtId="165" fontId="4" fillId="2" borderId="0" xfId="1" applyNumberFormat="1" applyFont="1" applyFill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1" fontId="4" fillId="6" borderId="0" xfId="0" applyNumberFormat="1" applyFont="1" applyFill="1" applyAlignment="1">
      <alignment horizontal="center"/>
    </xf>
    <xf numFmtId="1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10" fontId="0" fillId="5" borderId="2" xfId="2" applyNumberFormat="1" applyFont="1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9" fontId="0" fillId="5" borderId="2" xfId="2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66" fontId="4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14" fontId="4" fillId="7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7" fontId="0" fillId="0" borderId="0" xfId="2" applyNumberFormat="1" applyFont="1"/>
    <xf numFmtId="1" fontId="0" fillId="5" borderId="5" xfId="0" applyNumberFormat="1" applyFill="1" applyBorder="1" applyAlignment="1">
      <alignment horizontal="center" vertical="center"/>
    </xf>
    <xf numFmtId="1" fontId="0" fillId="5" borderId="5" xfId="0" applyNumberFormat="1" applyFill="1" applyBorder="1"/>
    <xf numFmtId="22" fontId="0" fillId="0" borderId="0" xfId="0" applyNumberFormat="1"/>
    <xf numFmtId="14" fontId="0" fillId="8" borderId="2" xfId="0" applyNumberFormat="1" applyFill="1" applyBorder="1"/>
    <xf numFmtId="1" fontId="0" fillId="8" borderId="2" xfId="0" applyNumberFormat="1" applyFill="1" applyBorder="1"/>
    <xf numFmtId="0" fontId="0" fillId="8" borderId="2" xfId="0" applyFill="1" applyBorder="1" applyAlignment="1">
      <alignment horizontal="center" vertical="center"/>
    </xf>
    <xf numFmtId="9" fontId="0" fillId="8" borderId="2" xfId="2" applyFont="1" applyFill="1" applyBorder="1" applyAlignment="1">
      <alignment horizontal="center" vertical="center"/>
    </xf>
    <xf numFmtId="10" fontId="0" fillId="8" borderId="2" xfId="2" applyNumberFormat="1" applyFont="1" applyFill="1" applyBorder="1" applyAlignment="1">
      <alignment horizontal="center" vertical="center"/>
    </xf>
    <xf numFmtId="1" fontId="0" fillId="8" borderId="2" xfId="0" applyNumberForma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4" fontId="6" fillId="8" borderId="0" xfId="0" applyNumberFormat="1" applyFont="1" applyFill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57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BCFDB4B0-A28A-4256-B873-43A7D0389CE7}" autoFormatId="16" applyNumberFormats="0" applyBorderFormats="0" applyFontFormats="0" applyPatternFormats="0" applyAlignmentFormats="0" applyWidthHeightFormats="0">
  <queryTableRefresh nextId="10">
    <queryTableFields count="9">
      <queryTableField id="1" name="Tag do Equipamento" tableColumnId="1"/>
      <queryTableField id="2" name="Planta Industrial" tableColumnId="2"/>
      <queryTableField id="3" name="Distrito" tableColumnId="3"/>
      <queryTableField id="4" name="Unidade de Processo" tableColumnId="4"/>
      <queryTableField id="5" name="Status Operacional" tableColumnId="5"/>
      <queryTableField id="6" name="Data da última Inspeção " tableColumnId="6"/>
      <queryTableField id="7" name="Frequência Definida " tableColumnId="7"/>
      <queryTableField id="8" name="Data da Próxima Inspeção " tableColumnId="8"/>
      <queryTableField id="9" name="Tipo de Inspeção 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1C30A3CE-5517-479C-A775-B36A24E7AC7D}" autoFormatId="16" applyNumberFormats="0" applyBorderFormats="0" applyFontFormats="0" applyPatternFormats="0" applyAlignmentFormats="0" applyWidthHeightFormats="0">
  <queryTableRefresh nextId="13">
    <queryTableFields count="12">
      <queryTableField id="1" name="Rank" tableColumnId="1"/>
      <queryTableField id="2" name="Status" tableColumnId="2"/>
      <queryTableField id="3" name="Gerência" tableColumnId="3"/>
      <queryTableField id="4" name="GPM" tableColumnId="4"/>
      <queryTableField id="5" name="Nota" tableColumnId="5"/>
      <queryTableField id="6" name="Texto" tableColumnId="6"/>
      <queryTableField id="7" name="Ordem" tableColumnId="7"/>
      <queryTableField id="8" name="Fim avaria" tableColumnId="8"/>
      <queryTableField id="9" name="Data criação" tableColumnId="9"/>
      <queryTableField id="10" name="Fluido" tableColumnId="10"/>
      <queryTableField id="11" name="Liberação" tableColumnId="11"/>
      <queryTableField id="12" name="Plaqueta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E1ADD7B-07CD-40CA-8271-E9148B93257B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Prioridade" tableColumnId="2"/>
      <queryTableField id="3" name="Finalidade" tableColumnId="3"/>
      <queryTableField id="4" name="Status" tableColumnId="4"/>
      <queryTableField id="5" name="Gerências" tableColumnId="5"/>
      <queryTableField id="6" name="GPM" tableColumnId="6"/>
      <queryTableField id="7" name="NOTA" tableColumnId="7"/>
      <queryTableField id="8" name="ORDEM" tableColumnId="8"/>
      <queryTableField id="9" name="DESCRICAO" tableColumnId="9"/>
      <queryTableField id="10" name="Critério" tableColumnId="10"/>
      <queryTableField id="11" name="OM - Status Sistema" tableColumnId="11"/>
      <queryTableField id="12" name="OM - Status Usuário" tableColumnId="12"/>
      <queryTableField id="13" name="Prazo demanda" tableColumnId="13"/>
      <queryTableField id="14" name="Fim avaria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0F1C3A2-9040-4A22-B421-004B9F73D8C9}" autoFormatId="16" applyNumberFormats="0" applyBorderFormats="0" applyFontFormats="0" applyPatternFormats="0" applyAlignmentFormats="0" applyWidthHeightFormats="0">
  <queryTableRefresh nextId="12">
    <queryTableFields count="11">
      <queryTableField id="1" name="Refinaria" tableColumnId="1"/>
      <queryTableField id="2" name="GPM" tableColumnId="2"/>
      <queryTableField id="3" name="Medida" tableColumnId="3"/>
      <queryTableField id="4" name="Texto da Nota" tableColumnId="4"/>
      <queryTableField id="5" name="Texto da Medida" tableColumnId="5"/>
      <queryTableField id="6" name="Cód" tableColumnId="6"/>
      <queryTableField id="7" name="Data Vencimento" tableColumnId="7"/>
      <queryTableField id="8" name="Status da Medida" tableColumnId="8"/>
      <queryTableField id="9" name="S_Sistema" tableColumnId="9"/>
      <queryTableField id="10" name="S_Usuário" tableColumnId="10"/>
      <queryTableField id="11" name="Link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C2D637B8-085A-4C79-888F-3ED4B80CD604}" autoFormatId="16" applyNumberFormats="0" applyBorderFormats="0" applyFontFormats="0" applyPatternFormats="0" applyAlignmentFormats="0" applyWidthHeightFormats="0">
  <queryTableRefresh nextId="20">
    <queryTableFields count="19">
      <queryTableField id="1" name="REFINARIA" tableColumnId="1"/>
      <queryTableField id="2" name="FUNÇÃO" tableColumnId="2"/>
      <queryTableField id="3" name="SF" tableColumnId="3"/>
      <queryTableField id="4" name="SE" tableColumnId="4"/>
      <queryTableField id="5" name="EQUIPAMENTO" tableColumnId="5"/>
      <queryTableField id="6" name="IMPACTO" tableColumnId="6"/>
      <queryTableField id="7" name="GER" tableColumnId="7"/>
      <queryTableField id="8" name="ÁREA" tableColumnId="8"/>
      <queryTableField id="9" name="PROCESSO" tableColumnId="9"/>
      <queryTableField id="10" name="UNIDADE" tableColumnId="10"/>
      <queryTableField id="11" name="NOTA" tableColumnId="11"/>
      <queryTableField id="12" name="ORDEM" tableColumnId="12"/>
      <queryTableField id="13" name="PLANO" tableColumnId="13"/>
      <queryTableField id="14" name="INÍCIO DA SITUAÇÃO" tableColumnId="14"/>
      <queryTableField id="15" name="EXPECTATIVA ENTREGA" tableColumnId="15"/>
      <queryTableField id="16" name="DATA PROG" tableColumnId="16"/>
      <queryTableField id="17" name="NIVELÁVEL" tableColumnId="17"/>
      <queryTableField id="18" name="PENDÊNCIAS" tableColumnId="18"/>
      <queryTableField id="19" name="DIAS NO PFCE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8A8F1B-EA25-4E45-90D5-B2A2614A850B}" name="Page_1" displayName="Page_1" ref="A1:I936" tableType="queryTable" totalsRowShown="0">
  <autoFilter ref="A1:I936" xr:uid="{AC8A8F1B-EA25-4E45-90D5-B2A2614A850B}"/>
  <tableColumns count="9">
    <tableColumn id="1" xr3:uid="{A461B3B7-5134-4903-BF74-4DF2F9C30012}" uniqueName="1" name="Tag do Equipamento" queryTableFieldId="1" dataDxfId="56"/>
    <tableColumn id="2" xr3:uid="{72EEB01E-5364-4986-AEFF-A8C9556AF59B}" uniqueName="2" name="Planta Industrial" queryTableFieldId="2" dataDxfId="55"/>
    <tableColumn id="3" xr3:uid="{1637F8FE-4AB7-457D-8C0D-12CC4B80F856}" uniqueName="3" name="Distrito" queryTableFieldId="3" dataDxfId="54"/>
    <tableColumn id="4" xr3:uid="{696753F5-8D52-4ED4-A3A8-3DF20BF7B542}" uniqueName="4" name="Unidade de Processo" queryTableFieldId="4" dataDxfId="53"/>
    <tableColumn id="5" xr3:uid="{7BF17A4D-CD92-43FB-9863-03B6A28EFE12}" uniqueName="5" name="Status Operacional" queryTableFieldId="5" dataDxfId="52"/>
    <tableColumn id="6" xr3:uid="{915DC869-9A92-47F0-8C6B-E6A622F5A2A3}" uniqueName="6" name="Data da última Inspeção " queryTableFieldId="6" dataDxfId="51"/>
    <tableColumn id="7" xr3:uid="{0D2FF84B-1E52-4C61-9E8E-F97BF11B97D2}" uniqueName="7" name="Frequência Definida " queryTableFieldId="7"/>
    <tableColumn id="8" xr3:uid="{5E46C7CE-6A62-4130-A06F-91220DEB162A}" uniqueName="8" name="Data da Próxima Inspeção " queryTableFieldId="8" dataDxfId="50"/>
    <tableColumn id="9" xr3:uid="{60B3048F-3C2A-4D74-823E-06E9A698DD9E}" uniqueName="9" name="Tipo de Inspeção " queryTableFieldId="9" dataDxfId="49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9B26E0-D4F7-49EF-9E25-9EB0C03163F4}" name="foco_vazamentos" displayName="foco_vazamentos" ref="A1:L97" tableType="queryTable" totalsRowShown="0">
  <autoFilter ref="A1:L97" xr:uid="{6F9B26E0-D4F7-49EF-9E25-9EB0C03163F4}"/>
  <tableColumns count="12">
    <tableColumn id="1" xr3:uid="{EDEE282B-16C6-411F-ACA9-5498C705C037}" uniqueName="1" name="Rank" queryTableFieldId="1" dataDxfId="48"/>
    <tableColumn id="2" xr3:uid="{5DE0F95B-2E42-4A0C-A957-D41ED680D313}" uniqueName="2" name="Status" queryTableFieldId="2" dataDxfId="47"/>
    <tableColumn id="3" xr3:uid="{7D46A614-2C86-441B-9EE5-8B26872F8143}" uniqueName="3" name="Gerência" queryTableFieldId="3" dataDxfId="46"/>
    <tableColumn id="4" xr3:uid="{F86050AC-266F-474F-B8D0-267A41075C50}" uniqueName="4" name="GPM" queryTableFieldId="4" dataDxfId="45"/>
    <tableColumn id="5" xr3:uid="{F3049CF8-C251-47E1-9076-0ED5C855FE83}" uniqueName="5" name="Nota" queryTableFieldId="5" dataDxfId="44"/>
    <tableColumn id="6" xr3:uid="{54463337-33D8-464C-8BD9-361329FED50F}" uniqueName="6" name="Texto" queryTableFieldId="6" dataDxfId="43"/>
    <tableColumn id="7" xr3:uid="{FCFEBC81-EB37-4DFB-8677-A25F7B0A3585}" uniqueName="7" name="Ordem" queryTableFieldId="7" dataDxfId="42"/>
    <tableColumn id="8" xr3:uid="{7B506D18-3D02-46C9-B9B2-8F4A0D2185DD}" uniqueName="8" name="Fim avaria" queryTableFieldId="8" dataDxfId="41"/>
    <tableColumn id="9" xr3:uid="{C6478600-0C4C-4BA4-8217-955FF236089F}" uniqueName="9" name="Data criação" queryTableFieldId="9" dataDxfId="40"/>
    <tableColumn id="10" xr3:uid="{59B293A0-C0CB-4F8A-8BB7-CEF1AEF004DF}" uniqueName="10" name="Fluido" queryTableFieldId="10" dataDxfId="39"/>
    <tableColumn id="11" xr3:uid="{A2135A35-2EDD-4141-8FED-3B2B5EA464FF}" uniqueName="11" name="Liberação" queryTableFieldId="11" dataDxfId="38"/>
    <tableColumn id="12" xr3:uid="{C143536D-CCAD-4D69-A7A2-8C3131E22628}" uniqueName="12" name="Plaqueta" queryTableFieldId="12" dataDxfId="37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6B590-1639-4645-B101-A86636D478E9}" name="MBIN" displayName="MBIN" ref="A1:N55" tableType="queryTable" totalsRowShown="0">
  <autoFilter ref="A1:N55" xr:uid="{8056B590-1639-4645-B101-A86636D478E9}">
    <filterColumn colId="3">
      <filters>
        <filter val="TM GPI - Avaliar material"/>
      </filters>
    </filterColumn>
    <filterColumn colId="5">
      <filters>
        <filter val="CAL"/>
        <filter val="COM"/>
      </filters>
    </filterColumn>
  </autoFilter>
  <tableColumns count="14">
    <tableColumn id="1" xr3:uid="{56D829E9-9DEB-4792-85D6-CB76BB57EEF0}" uniqueName="1" name="Rank" queryTableFieldId="1"/>
    <tableColumn id="2" xr3:uid="{B74F00AB-7EF1-4F81-B6B0-E05669DEEEE0}" uniqueName="2" name="Prioridade" queryTableFieldId="2"/>
    <tableColumn id="3" xr3:uid="{2B7ADFEC-BC45-4AEA-99B2-91B4E9139526}" uniqueName="3" name="Finalidade" queryTableFieldId="3" dataDxfId="36"/>
    <tableColumn id="4" xr3:uid="{2799DA4E-D42C-4735-8060-27F34627AEF1}" uniqueName="4" name="Status" queryTableFieldId="4" dataDxfId="35"/>
    <tableColumn id="5" xr3:uid="{8D015C44-79D6-422A-9171-E3445F247F98}" uniqueName="5" name="Gerências" queryTableFieldId="5" dataDxfId="34"/>
    <tableColumn id="6" xr3:uid="{6B5D326B-70DF-4FE7-922A-65F732285936}" uniqueName="6" name="GPM" queryTableFieldId="6" dataDxfId="33"/>
    <tableColumn id="7" xr3:uid="{38756BCE-6972-4806-9ECB-803015E01DA8}" uniqueName="7" name="NOTA" queryTableFieldId="7"/>
    <tableColumn id="8" xr3:uid="{A3F2C08D-F5E5-414A-976E-EFD2C6E467F3}" uniqueName="8" name="ORDEM" queryTableFieldId="8"/>
    <tableColumn id="9" xr3:uid="{EA68D5A2-95EC-444A-88E8-2D018CD51CD3}" uniqueName="9" name="DESCRICAO" queryTableFieldId="9" dataDxfId="32"/>
    <tableColumn id="10" xr3:uid="{65684C2A-123C-4788-AF38-8D46A77BFB83}" uniqueName="10" name="Critério" queryTableFieldId="10" dataDxfId="31"/>
    <tableColumn id="11" xr3:uid="{0D7DC412-0208-4DE6-BF46-82227E2C1FF9}" uniqueName="11" name="OM - Status Sistema" queryTableFieldId="11" dataDxfId="30"/>
    <tableColumn id="12" xr3:uid="{DA51F3E7-545B-48C7-BD2F-43BE27737F4C}" uniqueName="12" name="OM - Status Usuário" queryTableFieldId="12" dataDxfId="29"/>
    <tableColumn id="13" xr3:uid="{97328EBC-6652-4560-8092-808DF63CCCBF}" uniqueName="13" name="Prazo demanda" queryTableFieldId="13" dataDxfId="28"/>
    <tableColumn id="14" xr3:uid="{BFD06EEE-7E4E-4481-8453-503208403872}" uniqueName="14" name="Fim avaria" queryTableFieldId="14" dataDxfId="27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6173D6-F2F3-45D1-98EE-A0D553D171A6}" name="IARI" displayName="IARI" ref="A1:K223" tableType="queryTable" totalsRowShown="0">
  <autoFilter ref="A1:K223" xr:uid="{B26173D6-F2F3-45D1-98EE-A0D553D171A6}"/>
  <tableColumns count="11">
    <tableColumn id="1" xr3:uid="{B4CBB8BA-5B0D-4725-A159-0373D843BA30}" uniqueName="1" name="Refinaria" queryTableFieldId="1" dataDxfId="26"/>
    <tableColumn id="2" xr3:uid="{8F691FCD-47E5-4D39-80A8-A6AE0664A14C}" uniqueName="2" name="GPM" queryTableFieldId="2" dataDxfId="25"/>
    <tableColumn id="3" xr3:uid="{482958D0-B901-40D0-9292-60A5AAEE068D}" uniqueName="3" name="Medida" queryTableFieldId="3" dataDxfId="24"/>
    <tableColumn id="4" xr3:uid="{263F2BA8-05D1-4DEC-8745-2849CD5FDA76}" uniqueName="4" name="Texto da Nota" queryTableFieldId="4" dataDxfId="23"/>
    <tableColumn id="5" xr3:uid="{AFF8D07A-FAEF-48E3-A4D7-53F91A98289B}" uniqueName="5" name="Texto da Medida" queryTableFieldId="5" dataDxfId="22"/>
    <tableColumn id="6" xr3:uid="{C1AB4AF1-FF0B-4291-A019-C875CEACF374}" uniqueName="6" name="Cód" queryTableFieldId="6" dataDxfId="21"/>
    <tableColumn id="7" xr3:uid="{C9EA42A3-20E9-47F7-8EA9-7BF54BCEA458}" uniqueName="7" name="Data Vencimento" queryTableFieldId="7" dataDxfId="20"/>
    <tableColumn id="8" xr3:uid="{4F922F42-DC01-4202-BE9A-B37D17CF9521}" uniqueName="8" name="Status da Medida" queryTableFieldId="8" dataDxfId="19"/>
    <tableColumn id="9" xr3:uid="{5BF70447-F839-4763-86C2-805CAC4DB096}" uniqueName="9" name="S_Sistema" queryTableFieldId="9" dataDxfId="18"/>
    <tableColumn id="10" xr3:uid="{793726D9-BD4A-4A92-B5F8-BAB6A1EC1FE2}" uniqueName="10" name="S_Usuário" queryTableFieldId="10" dataDxfId="17"/>
    <tableColumn id="11" xr3:uid="{F7B01205-35E0-439D-9A2B-0DBBCF73C558}" uniqueName="11" name="Link" queryTableFieldId="11" dataDxfId="16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D4808B-5AB4-49FF-A293-B90F5FFE2339}" name="pfceo" displayName="pfceo" ref="A1:S705" tableType="queryTable" totalsRowShown="0">
  <autoFilter ref="A1:S705" xr:uid="{38D4808B-5AB4-49FF-A293-B90F5FFE2339}"/>
  <tableColumns count="19">
    <tableColumn id="1" xr3:uid="{F0D35A78-D987-4BC1-8599-7999EEDAA863}" uniqueName="1" name="REFINARIA" queryTableFieldId="1" dataDxfId="15"/>
    <tableColumn id="2" xr3:uid="{34C94D7D-F59B-443B-BED8-DFEBB4B15CE6}" uniqueName="2" name="FUNÇÃO" queryTableFieldId="2" dataDxfId="14"/>
    <tableColumn id="3" xr3:uid="{34E733C3-BF65-4997-A4C0-D61C83BA23F8}" uniqueName="3" name="SF" queryTableFieldId="3" dataDxfId="13"/>
    <tableColumn id="4" xr3:uid="{ECA91B07-7D2B-4C30-B4CB-5BD8D3DF9CE5}" uniqueName="4" name="SE" queryTableFieldId="4" dataDxfId="12"/>
    <tableColumn id="5" xr3:uid="{9F7975C2-122C-4F0A-A002-136875641107}" uniqueName="5" name="EQUIPAMENTO" queryTableFieldId="5" dataDxfId="11"/>
    <tableColumn id="6" xr3:uid="{63408569-8593-408F-B380-DEEE908213AD}" uniqueName="6" name="IMPACTO" queryTableFieldId="6" dataDxfId="10"/>
    <tableColumn id="7" xr3:uid="{30CFC935-EE11-461F-B6BF-EB420868D608}" uniqueName="7" name="GER" queryTableFieldId="7" dataDxfId="9"/>
    <tableColumn id="8" xr3:uid="{1B73FD8F-BDC3-45CE-8A08-A70C3E6B2FC4}" uniqueName="8" name="ÁREA" queryTableFieldId="8" dataDxfId="8"/>
    <tableColumn id="9" xr3:uid="{0DC14664-CDC7-43C6-8841-9932A5B56507}" uniqueName="9" name="PROCESSO" queryTableFieldId="9" dataDxfId="7"/>
    <tableColumn id="10" xr3:uid="{C42952B3-2E10-41C6-8258-FB5CC1110AFB}" uniqueName="10" name="UNIDADE" queryTableFieldId="10" dataDxfId="6"/>
    <tableColumn id="11" xr3:uid="{1A440596-4A28-4A7A-A46D-71C01B5F2D14}" uniqueName="11" name="NOTA" queryTableFieldId="11"/>
    <tableColumn id="12" xr3:uid="{9408EDD8-AA22-4F79-824E-454D661AF568}" uniqueName="12" name="ORDEM" queryTableFieldId="12"/>
    <tableColumn id="13" xr3:uid="{FBB8878C-0E4F-42BE-B3FF-E500FAAFB3C8}" uniqueName="13" name="PLANO" queryTableFieldId="13" dataDxfId="5"/>
    <tableColumn id="14" xr3:uid="{2AC1F93F-0970-45A8-AA82-82DC0489027F}" uniqueName="14" name="INÍCIO DA SITUAÇÃO" queryTableFieldId="14" dataDxfId="4"/>
    <tableColumn id="15" xr3:uid="{555CA325-9D39-47C9-8E13-8D671BF99D4A}" uniqueName="15" name="EXPECTATIVA ENTREGA" queryTableFieldId="15" dataDxfId="3"/>
    <tableColumn id="16" xr3:uid="{8E50D39F-0940-4044-952A-F7681D163446}" uniqueName="16" name="DATA PROG" queryTableFieldId="16" dataDxfId="2"/>
    <tableColumn id="17" xr3:uid="{6B7BFE0F-5525-4B42-AE22-D98F3703408F}" uniqueName="17" name="NIVELÁVEL" queryTableFieldId="17" dataDxfId="1"/>
    <tableColumn id="18" xr3:uid="{274D2D49-694E-4F34-A212-047B9DF48A95}" uniqueName="18" name="PENDÊNCIAS" queryTableFieldId="18" dataDxfId="0"/>
    <tableColumn id="19" xr3:uid="{4653D144-6F2B-4C39-9EAE-A19694E1A323}" uniqueName="19" name="DIAS NO PFCEO" queryTableFieldId="19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245D-FE6D-4FE1-97C3-1B39FEA90E58}">
  <sheetPr>
    <tabColor theme="1"/>
  </sheetPr>
  <dimension ref="A1:I936"/>
  <sheetViews>
    <sheetView workbookViewId="0">
      <selection activeCell="D32" sqref="D32"/>
    </sheetView>
  </sheetViews>
  <sheetFormatPr defaultRowHeight="14.4" x14ac:dyDescent="0.3"/>
  <cols>
    <col min="1" max="1" width="21.109375" bestFit="1" customWidth="1"/>
    <col min="2" max="2" width="17.44140625" bestFit="1" customWidth="1"/>
    <col min="3" max="3" width="13.21875" bestFit="1" customWidth="1"/>
    <col min="4" max="4" width="43.33203125" bestFit="1" customWidth="1"/>
    <col min="5" max="5" width="20" bestFit="1" customWidth="1"/>
    <col min="6" max="6" width="24.88671875" bestFit="1" customWidth="1"/>
    <col min="7" max="7" width="21.5546875" bestFit="1" customWidth="1"/>
    <col min="8" max="8" width="26.33203125" bestFit="1" customWidth="1"/>
    <col min="9" max="9" width="18.44140625" bestFit="1" customWidth="1"/>
  </cols>
  <sheetData>
    <row r="1" spans="1:9" x14ac:dyDescent="0.3">
      <c r="A1" t="s">
        <v>874</v>
      </c>
      <c r="B1" t="s">
        <v>875</v>
      </c>
      <c r="C1" t="s">
        <v>876</v>
      </c>
      <c r="D1" t="s">
        <v>877</v>
      </c>
      <c r="E1" t="s">
        <v>878</v>
      </c>
      <c r="F1" t="s">
        <v>879</v>
      </c>
      <c r="G1" t="s">
        <v>880</v>
      </c>
      <c r="H1" t="s">
        <v>881</v>
      </c>
      <c r="I1" t="s">
        <v>882</v>
      </c>
    </row>
    <row r="2" spans="1:9" x14ac:dyDescent="0.3">
      <c r="A2" t="s">
        <v>883</v>
      </c>
      <c r="B2" t="s">
        <v>884</v>
      </c>
      <c r="C2" t="s">
        <v>885</v>
      </c>
      <c r="D2" t="s">
        <v>886</v>
      </c>
      <c r="E2" t="s">
        <v>887</v>
      </c>
      <c r="F2" s="6">
        <v>40746</v>
      </c>
      <c r="G2">
        <v>168</v>
      </c>
      <c r="H2" s="6">
        <v>45860</v>
      </c>
      <c r="I2" t="s">
        <v>888</v>
      </c>
    </row>
    <row r="3" spans="1:9" x14ac:dyDescent="0.3">
      <c r="A3" t="s">
        <v>889</v>
      </c>
      <c r="B3" t="s">
        <v>884</v>
      </c>
      <c r="C3" t="s">
        <v>885</v>
      </c>
      <c r="D3" t="s">
        <v>886</v>
      </c>
      <c r="E3" t="s">
        <v>887</v>
      </c>
      <c r="F3" s="6">
        <v>40746</v>
      </c>
      <c r="G3">
        <v>168</v>
      </c>
      <c r="H3" s="6">
        <v>45860</v>
      </c>
      <c r="I3" t="s">
        <v>888</v>
      </c>
    </row>
    <row r="4" spans="1:9" x14ac:dyDescent="0.3">
      <c r="A4" t="s">
        <v>890</v>
      </c>
      <c r="B4" t="s">
        <v>884</v>
      </c>
      <c r="C4" t="s">
        <v>885</v>
      </c>
      <c r="D4" t="s">
        <v>891</v>
      </c>
      <c r="E4" t="s">
        <v>887</v>
      </c>
      <c r="F4" s="6">
        <v>44188</v>
      </c>
      <c r="G4">
        <v>55</v>
      </c>
      <c r="H4" s="6">
        <v>45861</v>
      </c>
      <c r="I4" t="s">
        <v>888</v>
      </c>
    </row>
    <row r="5" spans="1:9" x14ac:dyDescent="0.3">
      <c r="A5" t="s">
        <v>892</v>
      </c>
      <c r="B5" t="s">
        <v>884</v>
      </c>
      <c r="C5" t="s">
        <v>885</v>
      </c>
      <c r="D5" t="s">
        <v>893</v>
      </c>
      <c r="E5" t="s">
        <v>887</v>
      </c>
      <c r="F5" s="6">
        <v>42228</v>
      </c>
      <c r="G5">
        <v>120</v>
      </c>
      <c r="H5" s="6">
        <v>45881</v>
      </c>
      <c r="I5" t="s">
        <v>888</v>
      </c>
    </row>
    <row r="6" spans="1:9" x14ac:dyDescent="0.3">
      <c r="A6" t="s">
        <v>894</v>
      </c>
      <c r="B6" t="s">
        <v>884</v>
      </c>
      <c r="C6" t="s">
        <v>885</v>
      </c>
      <c r="D6" t="s">
        <v>886</v>
      </c>
      <c r="E6" t="s">
        <v>895</v>
      </c>
      <c r="F6" s="6">
        <v>42251</v>
      </c>
      <c r="G6">
        <v>120</v>
      </c>
      <c r="H6" s="6">
        <v>45904</v>
      </c>
      <c r="I6" t="s">
        <v>888</v>
      </c>
    </row>
    <row r="7" spans="1:9" x14ac:dyDescent="0.3">
      <c r="A7" t="s">
        <v>896</v>
      </c>
      <c r="B7" t="s">
        <v>884</v>
      </c>
      <c r="C7" t="s">
        <v>885</v>
      </c>
      <c r="D7" t="s">
        <v>893</v>
      </c>
      <c r="E7" t="s">
        <v>895</v>
      </c>
      <c r="F7" s="6">
        <v>45859</v>
      </c>
      <c r="G7">
        <v>2</v>
      </c>
      <c r="H7" s="6">
        <v>45921</v>
      </c>
      <c r="I7" t="s">
        <v>888</v>
      </c>
    </row>
    <row r="8" spans="1:9" x14ac:dyDescent="0.3">
      <c r="A8" t="s">
        <v>897</v>
      </c>
      <c r="B8" t="s">
        <v>884</v>
      </c>
      <c r="C8" t="s">
        <v>885</v>
      </c>
      <c r="D8" t="s">
        <v>886</v>
      </c>
      <c r="E8" t="s">
        <v>895</v>
      </c>
      <c r="F8" s="6">
        <v>45769</v>
      </c>
      <c r="G8">
        <v>5</v>
      </c>
      <c r="H8" s="6">
        <v>45922</v>
      </c>
      <c r="I8" t="s">
        <v>888</v>
      </c>
    </row>
    <row r="9" spans="1:9" x14ac:dyDescent="0.3">
      <c r="A9" t="s">
        <v>898</v>
      </c>
      <c r="B9" t="s">
        <v>884</v>
      </c>
      <c r="C9" t="s">
        <v>885</v>
      </c>
      <c r="D9" t="s">
        <v>893</v>
      </c>
      <c r="E9" t="s">
        <v>895</v>
      </c>
      <c r="F9" s="6">
        <v>43025</v>
      </c>
      <c r="G9">
        <v>96</v>
      </c>
      <c r="H9" s="6">
        <v>45947</v>
      </c>
      <c r="I9" t="s">
        <v>888</v>
      </c>
    </row>
    <row r="10" spans="1:9" x14ac:dyDescent="0.3">
      <c r="A10" t="s">
        <v>899</v>
      </c>
      <c r="B10" t="s">
        <v>884</v>
      </c>
      <c r="C10" t="s">
        <v>885</v>
      </c>
      <c r="D10" t="s">
        <v>886</v>
      </c>
      <c r="E10" t="s">
        <v>895</v>
      </c>
      <c r="F10" s="6">
        <v>43028</v>
      </c>
      <c r="G10">
        <v>96</v>
      </c>
      <c r="H10" s="6">
        <v>45950</v>
      </c>
      <c r="I10" t="s">
        <v>888</v>
      </c>
    </row>
    <row r="11" spans="1:9" x14ac:dyDescent="0.3">
      <c r="A11" t="s">
        <v>900</v>
      </c>
      <c r="B11" t="s">
        <v>884</v>
      </c>
      <c r="C11" t="s">
        <v>885</v>
      </c>
      <c r="D11" t="s">
        <v>886</v>
      </c>
      <c r="E11" t="s">
        <v>895</v>
      </c>
      <c r="F11" s="6">
        <v>44155</v>
      </c>
      <c r="G11">
        <v>60</v>
      </c>
      <c r="H11" s="6">
        <v>45981</v>
      </c>
      <c r="I11" t="s">
        <v>888</v>
      </c>
    </row>
    <row r="12" spans="1:9" x14ac:dyDescent="0.3">
      <c r="A12" t="s">
        <v>901</v>
      </c>
      <c r="B12" t="s">
        <v>884</v>
      </c>
      <c r="C12" t="s">
        <v>885</v>
      </c>
      <c r="D12" t="s">
        <v>893</v>
      </c>
      <c r="E12" t="s">
        <v>895</v>
      </c>
      <c r="F12" s="6">
        <v>43840</v>
      </c>
      <c r="G12">
        <v>72</v>
      </c>
      <c r="H12" s="6">
        <v>46032</v>
      </c>
      <c r="I12" t="s">
        <v>888</v>
      </c>
    </row>
    <row r="13" spans="1:9" x14ac:dyDescent="0.3">
      <c r="A13" t="s">
        <v>902</v>
      </c>
      <c r="B13" t="s">
        <v>884</v>
      </c>
      <c r="C13" t="s">
        <v>885</v>
      </c>
      <c r="D13" t="s">
        <v>886</v>
      </c>
      <c r="E13" t="s">
        <v>895</v>
      </c>
      <c r="F13" s="6">
        <v>40192</v>
      </c>
      <c r="G13">
        <v>192</v>
      </c>
      <c r="H13" s="6">
        <v>46036</v>
      </c>
      <c r="I13" t="s">
        <v>888</v>
      </c>
    </row>
    <row r="14" spans="1:9" x14ac:dyDescent="0.3">
      <c r="A14" t="s">
        <v>903</v>
      </c>
      <c r="B14" t="s">
        <v>884</v>
      </c>
      <c r="C14" t="s">
        <v>885</v>
      </c>
      <c r="D14" t="s">
        <v>904</v>
      </c>
      <c r="E14" t="s">
        <v>895</v>
      </c>
      <c r="F14" s="6">
        <v>43850</v>
      </c>
      <c r="G14">
        <v>72</v>
      </c>
      <c r="H14" s="6">
        <v>46042</v>
      </c>
      <c r="I14" t="s">
        <v>888</v>
      </c>
    </row>
    <row r="15" spans="1:9" x14ac:dyDescent="0.3">
      <c r="A15" t="s">
        <v>905</v>
      </c>
      <c r="B15" t="s">
        <v>884</v>
      </c>
      <c r="C15" t="s">
        <v>885</v>
      </c>
      <c r="D15" t="s">
        <v>904</v>
      </c>
      <c r="E15" t="s">
        <v>895</v>
      </c>
      <c r="F15" s="6">
        <v>43850</v>
      </c>
      <c r="G15">
        <v>72</v>
      </c>
      <c r="H15" s="6">
        <v>46042</v>
      </c>
      <c r="I15" t="s">
        <v>888</v>
      </c>
    </row>
    <row r="16" spans="1:9" x14ac:dyDescent="0.3">
      <c r="A16" t="s">
        <v>906</v>
      </c>
      <c r="B16" t="s">
        <v>884</v>
      </c>
      <c r="C16" t="s">
        <v>885</v>
      </c>
      <c r="D16" t="s">
        <v>904</v>
      </c>
      <c r="E16" t="s">
        <v>895</v>
      </c>
      <c r="F16" s="6">
        <v>43850</v>
      </c>
      <c r="G16">
        <v>72</v>
      </c>
      <c r="H16" s="6">
        <v>46042</v>
      </c>
      <c r="I16" t="s">
        <v>888</v>
      </c>
    </row>
    <row r="17" spans="1:9" x14ac:dyDescent="0.3">
      <c r="A17" t="s">
        <v>907</v>
      </c>
      <c r="B17" t="s">
        <v>884</v>
      </c>
      <c r="C17" t="s">
        <v>885</v>
      </c>
      <c r="D17" t="s">
        <v>904</v>
      </c>
      <c r="E17" t="s">
        <v>895</v>
      </c>
      <c r="F17" s="6">
        <v>43850</v>
      </c>
      <c r="G17">
        <v>72</v>
      </c>
      <c r="H17" s="6">
        <v>46042</v>
      </c>
      <c r="I17" t="s">
        <v>888</v>
      </c>
    </row>
    <row r="18" spans="1:9" x14ac:dyDescent="0.3">
      <c r="A18" t="s">
        <v>908</v>
      </c>
      <c r="B18" t="s">
        <v>884</v>
      </c>
      <c r="C18" t="s">
        <v>885</v>
      </c>
      <c r="D18" t="s">
        <v>909</v>
      </c>
      <c r="E18" t="s">
        <v>895</v>
      </c>
      <c r="F18" s="6">
        <v>44155</v>
      </c>
      <c r="G18">
        <v>62</v>
      </c>
      <c r="H18" s="6">
        <v>46042</v>
      </c>
      <c r="I18" t="s">
        <v>888</v>
      </c>
    </row>
    <row r="19" spans="1:9" x14ac:dyDescent="0.3">
      <c r="A19" t="s">
        <v>910</v>
      </c>
      <c r="B19" t="s">
        <v>884</v>
      </c>
      <c r="C19" t="s">
        <v>885</v>
      </c>
      <c r="D19" t="s">
        <v>886</v>
      </c>
      <c r="E19" t="s">
        <v>895</v>
      </c>
      <c r="F19" s="6">
        <v>44155</v>
      </c>
      <c r="G19">
        <v>62</v>
      </c>
      <c r="H19" s="6">
        <v>46042</v>
      </c>
      <c r="I19" t="s">
        <v>888</v>
      </c>
    </row>
    <row r="20" spans="1:9" x14ac:dyDescent="0.3">
      <c r="A20" t="s">
        <v>911</v>
      </c>
      <c r="B20" t="s">
        <v>884</v>
      </c>
      <c r="C20" t="s">
        <v>885</v>
      </c>
      <c r="D20" t="s">
        <v>886</v>
      </c>
      <c r="E20" t="s">
        <v>895</v>
      </c>
      <c r="F20" s="6">
        <v>44155</v>
      </c>
      <c r="G20">
        <v>62</v>
      </c>
      <c r="H20" s="6">
        <v>46042</v>
      </c>
      <c r="I20" t="s">
        <v>888</v>
      </c>
    </row>
    <row r="21" spans="1:9" x14ac:dyDescent="0.3">
      <c r="A21" t="s">
        <v>912</v>
      </c>
      <c r="B21" t="s">
        <v>884</v>
      </c>
      <c r="C21" t="s">
        <v>885</v>
      </c>
      <c r="D21" t="s">
        <v>886</v>
      </c>
      <c r="E21" t="s">
        <v>895</v>
      </c>
      <c r="F21" s="6">
        <v>44155</v>
      </c>
      <c r="G21">
        <v>62</v>
      </c>
      <c r="H21" s="6">
        <v>46042</v>
      </c>
      <c r="I21" t="s">
        <v>888</v>
      </c>
    </row>
    <row r="22" spans="1:9" x14ac:dyDescent="0.3">
      <c r="A22" t="s">
        <v>913</v>
      </c>
      <c r="B22" t="s">
        <v>884</v>
      </c>
      <c r="C22" t="s">
        <v>885</v>
      </c>
      <c r="D22" t="s">
        <v>904</v>
      </c>
      <c r="E22" t="s">
        <v>895</v>
      </c>
      <c r="F22" s="6">
        <v>43850</v>
      </c>
      <c r="G22">
        <v>72</v>
      </c>
      <c r="H22" s="6">
        <v>46042</v>
      </c>
      <c r="I22" t="s">
        <v>888</v>
      </c>
    </row>
    <row r="23" spans="1:9" x14ac:dyDescent="0.3">
      <c r="A23" t="s">
        <v>914</v>
      </c>
      <c r="B23" t="s">
        <v>884</v>
      </c>
      <c r="C23" t="s">
        <v>885</v>
      </c>
      <c r="D23" t="s">
        <v>904</v>
      </c>
      <c r="E23" t="s">
        <v>895</v>
      </c>
      <c r="F23" s="6">
        <v>43850</v>
      </c>
      <c r="G23">
        <v>72</v>
      </c>
      <c r="H23" s="6">
        <v>46042</v>
      </c>
      <c r="I23" t="s">
        <v>888</v>
      </c>
    </row>
    <row r="24" spans="1:9" x14ac:dyDescent="0.3">
      <c r="A24" t="s">
        <v>915</v>
      </c>
      <c r="B24" t="s">
        <v>884</v>
      </c>
      <c r="C24" t="s">
        <v>885</v>
      </c>
      <c r="D24" t="s">
        <v>904</v>
      </c>
      <c r="E24" t="s">
        <v>895</v>
      </c>
      <c r="F24" s="6">
        <v>43850</v>
      </c>
      <c r="G24">
        <v>72</v>
      </c>
      <c r="H24" s="6">
        <v>46042</v>
      </c>
      <c r="I24" t="s">
        <v>888</v>
      </c>
    </row>
    <row r="25" spans="1:9" x14ac:dyDescent="0.3">
      <c r="A25" t="s">
        <v>916</v>
      </c>
      <c r="B25" t="s">
        <v>884</v>
      </c>
      <c r="C25" t="s">
        <v>885</v>
      </c>
      <c r="D25" t="s">
        <v>904</v>
      </c>
      <c r="E25" t="s">
        <v>895</v>
      </c>
      <c r="F25" s="6">
        <v>43850</v>
      </c>
      <c r="G25">
        <v>72</v>
      </c>
      <c r="H25" s="6">
        <v>46042</v>
      </c>
      <c r="I25" t="s">
        <v>888</v>
      </c>
    </row>
    <row r="26" spans="1:9" x14ac:dyDescent="0.3">
      <c r="A26" t="s">
        <v>917</v>
      </c>
      <c r="B26" t="s">
        <v>884</v>
      </c>
      <c r="C26" t="s">
        <v>885</v>
      </c>
      <c r="D26" t="s">
        <v>904</v>
      </c>
      <c r="E26" t="s">
        <v>895</v>
      </c>
      <c r="F26" s="6">
        <v>43850</v>
      </c>
      <c r="G26">
        <v>72</v>
      </c>
      <c r="H26" s="6">
        <v>46042</v>
      </c>
      <c r="I26" t="s">
        <v>888</v>
      </c>
    </row>
    <row r="27" spans="1:9" x14ac:dyDescent="0.3">
      <c r="A27" t="s">
        <v>918</v>
      </c>
      <c r="B27" t="s">
        <v>884</v>
      </c>
      <c r="C27" t="s">
        <v>885</v>
      </c>
      <c r="D27" t="s">
        <v>904</v>
      </c>
      <c r="E27" t="s">
        <v>895</v>
      </c>
      <c r="F27" s="6">
        <v>43850</v>
      </c>
      <c r="G27">
        <v>72</v>
      </c>
      <c r="H27" s="6">
        <v>46042</v>
      </c>
      <c r="I27" t="s">
        <v>888</v>
      </c>
    </row>
    <row r="28" spans="1:9" x14ac:dyDescent="0.3">
      <c r="A28" t="s">
        <v>919</v>
      </c>
      <c r="B28" t="s">
        <v>884</v>
      </c>
      <c r="C28" t="s">
        <v>885</v>
      </c>
      <c r="D28" t="s">
        <v>886</v>
      </c>
      <c r="E28" t="s">
        <v>895</v>
      </c>
      <c r="F28" s="6">
        <v>44582</v>
      </c>
      <c r="G28">
        <v>48</v>
      </c>
      <c r="H28" s="6">
        <v>46043</v>
      </c>
      <c r="I28" t="s">
        <v>888</v>
      </c>
    </row>
    <row r="29" spans="1:9" x14ac:dyDescent="0.3">
      <c r="A29" t="s">
        <v>920</v>
      </c>
      <c r="B29" t="s">
        <v>884</v>
      </c>
      <c r="C29" t="s">
        <v>885</v>
      </c>
      <c r="D29" t="s">
        <v>886</v>
      </c>
      <c r="E29" t="s">
        <v>895</v>
      </c>
      <c r="F29" s="6">
        <v>44582</v>
      </c>
      <c r="G29">
        <v>48</v>
      </c>
      <c r="H29" s="6">
        <v>46043</v>
      </c>
      <c r="I29" t="s">
        <v>888</v>
      </c>
    </row>
    <row r="30" spans="1:9" x14ac:dyDescent="0.3">
      <c r="A30" t="s">
        <v>921</v>
      </c>
      <c r="B30" t="s">
        <v>884</v>
      </c>
      <c r="C30" t="s">
        <v>885</v>
      </c>
      <c r="D30" t="s">
        <v>886</v>
      </c>
      <c r="E30" t="s">
        <v>895</v>
      </c>
      <c r="F30" s="6">
        <v>45869</v>
      </c>
      <c r="G30">
        <v>7</v>
      </c>
      <c r="H30" s="6">
        <v>46056</v>
      </c>
      <c r="I30" t="s">
        <v>888</v>
      </c>
    </row>
    <row r="31" spans="1:9" x14ac:dyDescent="0.3">
      <c r="A31" t="s">
        <v>922</v>
      </c>
      <c r="B31" t="s">
        <v>884</v>
      </c>
      <c r="C31" t="s">
        <v>885</v>
      </c>
      <c r="D31" t="s">
        <v>891</v>
      </c>
      <c r="E31" t="s">
        <v>895</v>
      </c>
      <c r="F31" s="6">
        <v>45867</v>
      </c>
      <c r="G31">
        <v>7</v>
      </c>
      <c r="H31" s="6">
        <v>46056</v>
      </c>
      <c r="I31" t="s">
        <v>888</v>
      </c>
    </row>
    <row r="32" spans="1:9" x14ac:dyDescent="0.3">
      <c r="A32" t="s">
        <v>923</v>
      </c>
      <c r="B32" t="s">
        <v>884</v>
      </c>
      <c r="C32" t="s">
        <v>885</v>
      </c>
      <c r="D32" t="s">
        <v>891</v>
      </c>
      <c r="E32" t="s">
        <v>895</v>
      </c>
      <c r="F32" s="6">
        <v>45867</v>
      </c>
      <c r="G32">
        <v>7</v>
      </c>
      <c r="H32" s="6">
        <v>46056</v>
      </c>
      <c r="I32" t="s">
        <v>888</v>
      </c>
    </row>
    <row r="33" spans="1:9" x14ac:dyDescent="0.3">
      <c r="A33" t="s">
        <v>924</v>
      </c>
      <c r="B33" t="s">
        <v>884</v>
      </c>
      <c r="C33" t="s">
        <v>885</v>
      </c>
      <c r="D33" t="s">
        <v>891</v>
      </c>
      <c r="E33" t="s">
        <v>895</v>
      </c>
      <c r="F33" s="6">
        <v>45867</v>
      </c>
      <c r="G33">
        <v>7</v>
      </c>
      <c r="H33" s="6">
        <v>46056</v>
      </c>
      <c r="I33" t="s">
        <v>888</v>
      </c>
    </row>
    <row r="34" spans="1:9" x14ac:dyDescent="0.3">
      <c r="A34" t="s">
        <v>925</v>
      </c>
      <c r="B34" t="s">
        <v>884</v>
      </c>
      <c r="C34" t="s">
        <v>885</v>
      </c>
      <c r="D34" t="s">
        <v>891</v>
      </c>
      <c r="E34" t="s">
        <v>895</v>
      </c>
      <c r="F34" s="6">
        <v>45867</v>
      </c>
      <c r="G34">
        <v>7</v>
      </c>
      <c r="H34" s="6">
        <v>46056</v>
      </c>
      <c r="I34" t="s">
        <v>888</v>
      </c>
    </row>
    <row r="35" spans="1:9" x14ac:dyDescent="0.3">
      <c r="A35" t="s">
        <v>926</v>
      </c>
      <c r="B35" t="s">
        <v>884</v>
      </c>
      <c r="C35" t="s">
        <v>885</v>
      </c>
      <c r="D35" t="s">
        <v>891</v>
      </c>
      <c r="E35" t="s">
        <v>895</v>
      </c>
      <c r="F35" s="6">
        <v>45867</v>
      </c>
      <c r="G35">
        <v>7</v>
      </c>
      <c r="H35" s="6">
        <v>46056</v>
      </c>
      <c r="I35" t="s">
        <v>888</v>
      </c>
    </row>
    <row r="36" spans="1:9" x14ac:dyDescent="0.3">
      <c r="A36" t="s">
        <v>927</v>
      </c>
      <c r="B36" t="s">
        <v>884</v>
      </c>
      <c r="C36" t="s">
        <v>885</v>
      </c>
      <c r="D36" t="s">
        <v>891</v>
      </c>
      <c r="E36" t="s">
        <v>895</v>
      </c>
      <c r="F36" s="6">
        <v>45867</v>
      </c>
      <c r="G36">
        <v>7</v>
      </c>
      <c r="H36" s="6">
        <v>46056</v>
      </c>
      <c r="I36" t="s">
        <v>888</v>
      </c>
    </row>
    <row r="37" spans="1:9" x14ac:dyDescent="0.3">
      <c r="A37" t="s">
        <v>928</v>
      </c>
      <c r="B37" t="s">
        <v>884</v>
      </c>
      <c r="C37" t="s">
        <v>885</v>
      </c>
      <c r="D37" t="s">
        <v>929</v>
      </c>
      <c r="E37" t="s">
        <v>895</v>
      </c>
      <c r="F37" s="6">
        <v>44145</v>
      </c>
      <c r="G37">
        <v>63</v>
      </c>
      <c r="H37" s="6">
        <v>46063</v>
      </c>
      <c r="I37" t="s">
        <v>888</v>
      </c>
    </row>
    <row r="38" spans="1:9" x14ac:dyDescent="0.3">
      <c r="A38" t="s">
        <v>930</v>
      </c>
      <c r="B38" t="s">
        <v>884</v>
      </c>
      <c r="C38" t="s">
        <v>885</v>
      </c>
      <c r="D38" t="s">
        <v>929</v>
      </c>
      <c r="E38" t="s">
        <v>895</v>
      </c>
      <c r="F38" s="6">
        <v>44145</v>
      </c>
      <c r="G38">
        <v>63</v>
      </c>
      <c r="H38" s="6">
        <v>46063</v>
      </c>
      <c r="I38" t="s">
        <v>888</v>
      </c>
    </row>
    <row r="39" spans="1:9" x14ac:dyDescent="0.3">
      <c r="A39" t="s">
        <v>931</v>
      </c>
      <c r="B39" t="s">
        <v>884</v>
      </c>
      <c r="C39" t="s">
        <v>885</v>
      </c>
      <c r="D39" t="s">
        <v>893</v>
      </c>
      <c r="E39" t="s">
        <v>895</v>
      </c>
      <c r="F39" s="6">
        <v>44155</v>
      </c>
      <c r="G39">
        <v>63</v>
      </c>
      <c r="H39" s="6">
        <v>46073</v>
      </c>
      <c r="I39" t="s">
        <v>888</v>
      </c>
    </row>
    <row r="40" spans="1:9" x14ac:dyDescent="0.3">
      <c r="A40" t="s">
        <v>932</v>
      </c>
      <c r="B40" t="s">
        <v>884</v>
      </c>
      <c r="C40" t="s">
        <v>885</v>
      </c>
      <c r="D40" t="s">
        <v>893</v>
      </c>
      <c r="E40" t="s">
        <v>895</v>
      </c>
      <c r="F40" s="6">
        <v>43160</v>
      </c>
      <c r="G40">
        <v>96</v>
      </c>
      <c r="H40" s="6">
        <v>46082</v>
      </c>
      <c r="I40" t="s">
        <v>888</v>
      </c>
    </row>
    <row r="41" spans="1:9" x14ac:dyDescent="0.3">
      <c r="A41" t="s">
        <v>933</v>
      </c>
      <c r="B41" t="s">
        <v>884</v>
      </c>
      <c r="C41" t="s">
        <v>885</v>
      </c>
      <c r="D41" t="s">
        <v>886</v>
      </c>
      <c r="E41" t="s">
        <v>895</v>
      </c>
      <c r="F41" s="6">
        <v>43896</v>
      </c>
      <c r="G41">
        <v>72</v>
      </c>
      <c r="H41" s="6">
        <v>46087</v>
      </c>
      <c r="I41" t="s">
        <v>888</v>
      </c>
    </row>
    <row r="42" spans="1:9" x14ac:dyDescent="0.3">
      <c r="A42" t="s">
        <v>934</v>
      </c>
      <c r="B42" t="s">
        <v>884</v>
      </c>
      <c r="C42" t="s">
        <v>885</v>
      </c>
      <c r="D42" t="s">
        <v>886</v>
      </c>
      <c r="E42" t="s">
        <v>895</v>
      </c>
      <c r="F42" s="6">
        <v>44155</v>
      </c>
      <c r="G42">
        <v>64</v>
      </c>
      <c r="H42" s="6">
        <v>46101</v>
      </c>
      <c r="I42" t="s">
        <v>888</v>
      </c>
    </row>
    <row r="43" spans="1:9" x14ac:dyDescent="0.3">
      <c r="A43" t="s">
        <v>935</v>
      </c>
      <c r="B43" t="s">
        <v>884</v>
      </c>
      <c r="C43" t="s">
        <v>885</v>
      </c>
      <c r="D43" t="s">
        <v>886</v>
      </c>
      <c r="E43" t="s">
        <v>895</v>
      </c>
      <c r="F43" s="6">
        <v>44155</v>
      </c>
      <c r="G43">
        <v>64</v>
      </c>
      <c r="H43" s="6">
        <v>46101</v>
      </c>
      <c r="I43" t="s">
        <v>888</v>
      </c>
    </row>
    <row r="44" spans="1:9" x14ac:dyDescent="0.3">
      <c r="A44" t="s">
        <v>936</v>
      </c>
      <c r="B44" t="s">
        <v>884</v>
      </c>
      <c r="C44" t="s">
        <v>885</v>
      </c>
      <c r="D44" t="s">
        <v>937</v>
      </c>
      <c r="E44" t="s">
        <v>895</v>
      </c>
      <c r="F44" s="6">
        <v>43920</v>
      </c>
      <c r="G44">
        <v>72</v>
      </c>
      <c r="H44" s="6">
        <v>46111</v>
      </c>
      <c r="I44" t="s">
        <v>888</v>
      </c>
    </row>
    <row r="45" spans="1:9" x14ac:dyDescent="0.3">
      <c r="A45" t="s">
        <v>938</v>
      </c>
      <c r="B45" t="s">
        <v>884</v>
      </c>
      <c r="C45" t="s">
        <v>885</v>
      </c>
      <c r="D45" t="s">
        <v>904</v>
      </c>
      <c r="E45" t="s">
        <v>895</v>
      </c>
      <c r="F45" s="6">
        <v>43929</v>
      </c>
      <c r="G45">
        <v>72</v>
      </c>
      <c r="H45" s="6">
        <v>46120</v>
      </c>
      <c r="I45" t="s">
        <v>888</v>
      </c>
    </row>
    <row r="46" spans="1:9" x14ac:dyDescent="0.3">
      <c r="A46" t="s">
        <v>939</v>
      </c>
      <c r="B46" t="s">
        <v>884</v>
      </c>
      <c r="C46" t="s">
        <v>885</v>
      </c>
      <c r="D46" t="s">
        <v>904</v>
      </c>
      <c r="E46" t="s">
        <v>895</v>
      </c>
      <c r="F46" s="6">
        <v>43929</v>
      </c>
      <c r="G46">
        <v>72</v>
      </c>
      <c r="H46" s="6">
        <v>46120</v>
      </c>
      <c r="I46" t="s">
        <v>888</v>
      </c>
    </row>
    <row r="47" spans="1:9" x14ac:dyDescent="0.3">
      <c r="A47" t="s">
        <v>940</v>
      </c>
      <c r="B47" t="s">
        <v>884</v>
      </c>
      <c r="C47" t="s">
        <v>885</v>
      </c>
      <c r="D47" t="s">
        <v>904</v>
      </c>
      <c r="E47" t="s">
        <v>895</v>
      </c>
      <c r="F47" s="6">
        <v>43929</v>
      </c>
      <c r="G47">
        <v>72</v>
      </c>
      <c r="H47" s="6">
        <v>46120</v>
      </c>
      <c r="I47" t="s">
        <v>888</v>
      </c>
    </row>
    <row r="48" spans="1:9" x14ac:dyDescent="0.3">
      <c r="A48" t="s">
        <v>941</v>
      </c>
      <c r="B48" t="s">
        <v>884</v>
      </c>
      <c r="C48" t="s">
        <v>885</v>
      </c>
      <c r="D48" t="s">
        <v>904</v>
      </c>
      <c r="E48" t="s">
        <v>895</v>
      </c>
      <c r="F48" s="6">
        <v>43929</v>
      </c>
      <c r="G48">
        <v>72</v>
      </c>
      <c r="H48" s="6">
        <v>46120</v>
      </c>
      <c r="I48" t="s">
        <v>888</v>
      </c>
    </row>
    <row r="49" spans="1:9" x14ac:dyDescent="0.3">
      <c r="A49" t="s">
        <v>942</v>
      </c>
      <c r="B49" t="s">
        <v>884</v>
      </c>
      <c r="C49" t="s">
        <v>885</v>
      </c>
      <c r="D49" t="s">
        <v>904</v>
      </c>
      <c r="E49" t="s">
        <v>895</v>
      </c>
      <c r="F49" s="6">
        <v>43929</v>
      </c>
      <c r="G49">
        <v>72</v>
      </c>
      <c r="H49" s="6">
        <v>46120</v>
      </c>
      <c r="I49" t="s">
        <v>888</v>
      </c>
    </row>
    <row r="50" spans="1:9" x14ac:dyDescent="0.3">
      <c r="A50" t="s">
        <v>943</v>
      </c>
      <c r="B50" t="s">
        <v>884</v>
      </c>
      <c r="C50" t="s">
        <v>885</v>
      </c>
      <c r="D50" t="s">
        <v>904</v>
      </c>
      <c r="E50" t="s">
        <v>895</v>
      </c>
      <c r="F50" s="6">
        <v>43929</v>
      </c>
      <c r="G50">
        <v>72</v>
      </c>
      <c r="H50" s="6">
        <v>46120</v>
      </c>
      <c r="I50" t="s">
        <v>888</v>
      </c>
    </row>
    <row r="51" spans="1:9" x14ac:dyDescent="0.3">
      <c r="A51" t="s">
        <v>944</v>
      </c>
      <c r="B51" t="s">
        <v>884</v>
      </c>
      <c r="C51" t="s">
        <v>885</v>
      </c>
      <c r="D51" t="s">
        <v>904</v>
      </c>
      <c r="E51" t="s">
        <v>895</v>
      </c>
      <c r="F51" s="6">
        <v>43929</v>
      </c>
      <c r="G51">
        <v>72</v>
      </c>
      <c r="H51" s="6">
        <v>46120</v>
      </c>
      <c r="I51" t="s">
        <v>888</v>
      </c>
    </row>
    <row r="52" spans="1:9" x14ac:dyDescent="0.3">
      <c r="A52" t="s">
        <v>945</v>
      </c>
      <c r="B52" t="s">
        <v>884</v>
      </c>
      <c r="C52" t="s">
        <v>885</v>
      </c>
      <c r="D52" t="s">
        <v>904</v>
      </c>
      <c r="E52" t="s">
        <v>895</v>
      </c>
      <c r="F52" s="6">
        <v>43929</v>
      </c>
      <c r="G52">
        <v>72</v>
      </c>
      <c r="H52" s="6">
        <v>46120</v>
      </c>
      <c r="I52" t="s">
        <v>888</v>
      </c>
    </row>
    <row r="53" spans="1:9" x14ac:dyDescent="0.3">
      <c r="A53" t="s">
        <v>946</v>
      </c>
      <c r="B53" t="s">
        <v>884</v>
      </c>
      <c r="C53" t="s">
        <v>885</v>
      </c>
      <c r="D53" t="s">
        <v>909</v>
      </c>
      <c r="E53" t="s">
        <v>895</v>
      </c>
      <c r="F53" s="6">
        <v>44155</v>
      </c>
      <c r="G53">
        <v>65</v>
      </c>
      <c r="H53" s="6">
        <v>46132</v>
      </c>
      <c r="I53" t="s">
        <v>888</v>
      </c>
    </row>
    <row r="54" spans="1:9" x14ac:dyDescent="0.3">
      <c r="A54" t="s">
        <v>947</v>
      </c>
      <c r="B54" t="s">
        <v>884</v>
      </c>
      <c r="C54" t="s">
        <v>885</v>
      </c>
      <c r="D54" t="s">
        <v>909</v>
      </c>
      <c r="E54" t="s">
        <v>895</v>
      </c>
      <c r="F54" s="6">
        <v>44155</v>
      </c>
      <c r="G54">
        <v>65</v>
      </c>
      <c r="H54" s="6">
        <v>46132</v>
      </c>
      <c r="I54" t="s">
        <v>888</v>
      </c>
    </row>
    <row r="55" spans="1:9" x14ac:dyDescent="0.3">
      <c r="A55" t="s">
        <v>948</v>
      </c>
      <c r="B55" t="s">
        <v>884</v>
      </c>
      <c r="C55" t="s">
        <v>885</v>
      </c>
      <c r="D55" t="s">
        <v>904</v>
      </c>
      <c r="E55" t="s">
        <v>895</v>
      </c>
      <c r="F55" s="6">
        <v>44155</v>
      </c>
      <c r="G55">
        <v>65</v>
      </c>
      <c r="H55" s="6">
        <v>46132</v>
      </c>
      <c r="I55" t="s">
        <v>888</v>
      </c>
    </row>
    <row r="56" spans="1:9" x14ac:dyDescent="0.3">
      <c r="A56" t="s">
        <v>949</v>
      </c>
      <c r="B56" t="s">
        <v>884</v>
      </c>
      <c r="C56" t="s">
        <v>885</v>
      </c>
      <c r="D56" t="s">
        <v>909</v>
      </c>
      <c r="E56" t="s">
        <v>895</v>
      </c>
      <c r="F56" s="6">
        <v>44155</v>
      </c>
      <c r="G56">
        <v>65</v>
      </c>
      <c r="H56" s="6">
        <v>46132</v>
      </c>
      <c r="I56" t="s">
        <v>888</v>
      </c>
    </row>
    <row r="57" spans="1:9" x14ac:dyDescent="0.3">
      <c r="A57" t="s">
        <v>950</v>
      </c>
      <c r="B57" t="s">
        <v>884</v>
      </c>
      <c r="C57" t="s">
        <v>885</v>
      </c>
      <c r="D57" t="s">
        <v>909</v>
      </c>
      <c r="E57" t="s">
        <v>895</v>
      </c>
      <c r="F57" s="6">
        <v>44155</v>
      </c>
      <c r="G57">
        <v>65</v>
      </c>
      <c r="H57" s="6">
        <v>46132</v>
      </c>
      <c r="I57" t="s">
        <v>888</v>
      </c>
    </row>
    <row r="58" spans="1:9" x14ac:dyDescent="0.3">
      <c r="A58" t="s">
        <v>951</v>
      </c>
      <c r="B58" t="s">
        <v>884</v>
      </c>
      <c r="C58" t="s">
        <v>885</v>
      </c>
      <c r="D58" t="s">
        <v>909</v>
      </c>
      <c r="E58" t="s">
        <v>895</v>
      </c>
      <c r="F58" s="6">
        <v>44155</v>
      </c>
      <c r="G58">
        <v>65</v>
      </c>
      <c r="H58" s="6">
        <v>46132</v>
      </c>
      <c r="I58" t="s">
        <v>888</v>
      </c>
    </row>
    <row r="59" spans="1:9" x14ac:dyDescent="0.3">
      <c r="A59" t="s">
        <v>952</v>
      </c>
      <c r="B59" t="s">
        <v>884</v>
      </c>
      <c r="C59" t="s">
        <v>885</v>
      </c>
      <c r="D59" t="s">
        <v>929</v>
      </c>
      <c r="E59" t="s">
        <v>895</v>
      </c>
      <c r="F59" s="6">
        <v>45869</v>
      </c>
      <c r="G59">
        <v>9</v>
      </c>
      <c r="H59" s="6">
        <v>46139</v>
      </c>
      <c r="I59" t="s">
        <v>888</v>
      </c>
    </row>
    <row r="60" spans="1:9" x14ac:dyDescent="0.3">
      <c r="A60" t="s">
        <v>953</v>
      </c>
      <c r="B60" t="s">
        <v>884</v>
      </c>
      <c r="C60" t="s">
        <v>885</v>
      </c>
      <c r="D60" t="s">
        <v>909</v>
      </c>
      <c r="E60" t="s">
        <v>895</v>
      </c>
      <c r="F60" s="6">
        <v>44314</v>
      </c>
      <c r="G60">
        <v>60</v>
      </c>
      <c r="H60" s="6">
        <v>46140</v>
      </c>
      <c r="I60" t="s">
        <v>888</v>
      </c>
    </row>
    <row r="61" spans="1:9" x14ac:dyDescent="0.3">
      <c r="A61" t="s">
        <v>954</v>
      </c>
      <c r="B61" t="s">
        <v>884</v>
      </c>
      <c r="C61" t="s">
        <v>885</v>
      </c>
      <c r="D61" t="s">
        <v>904</v>
      </c>
      <c r="E61" t="s">
        <v>895</v>
      </c>
      <c r="F61" s="6">
        <v>43959</v>
      </c>
      <c r="G61">
        <v>72</v>
      </c>
      <c r="H61" s="6">
        <v>46150</v>
      </c>
      <c r="I61" t="s">
        <v>888</v>
      </c>
    </row>
    <row r="62" spans="1:9" x14ac:dyDescent="0.3">
      <c r="A62" t="s">
        <v>955</v>
      </c>
      <c r="B62" t="s">
        <v>884</v>
      </c>
      <c r="C62" t="s">
        <v>885</v>
      </c>
      <c r="D62" t="s">
        <v>904</v>
      </c>
      <c r="E62" t="s">
        <v>895</v>
      </c>
      <c r="F62" s="6">
        <v>43959</v>
      </c>
      <c r="G62">
        <v>72</v>
      </c>
      <c r="H62" s="6">
        <v>46150</v>
      </c>
      <c r="I62" t="s">
        <v>888</v>
      </c>
    </row>
    <row r="63" spans="1:9" x14ac:dyDescent="0.3">
      <c r="A63" t="s">
        <v>956</v>
      </c>
      <c r="B63" t="s">
        <v>884</v>
      </c>
      <c r="C63" t="s">
        <v>885</v>
      </c>
      <c r="D63" t="s">
        <v>904</v>
      </c>
      <c r="E63" t="s">
        <v>895</v>
      </c>
      <c r="F63" s="6">
        <v>43959</v>
      </c>
      <c r="G63">
        <v>72</v>
      </c>
      <c r="H63" s="6">
        <v>46150</v>
      </c>
      <c r="I63" t="s">
        <v>888</v>
      </c>
    </row>
    <row r="64" spans="1:9" x14ac:dyDescent="0.3">
      <c r="A64" t="s">
        <v>957</v>
      </c>
      <c r="B64" t="s">
        <v>884</v>
      </c>
      <c r="C64" t="s">
        <v>885</v>
      </c>
      <c r="D64" t="s">
        <v>904</v>
      </c>
      <c r="E64" t="s">
        <v>895</v>
      </c>
      <c r="F64" s="6">
        <v>43959</v>
      </c>
      <c r="G64">
        <v>72</v>
      </c>
      <c r="H64" s="6">
        <v>46150</v>
      </c>
      <c r="I64" t="s">
        <v>888</v>
      </c>
    </row>
    <row r="65" spans="1:9" x14ac:dyDescent="0.3">
      <c r="A65" t="s">
        <v>958</v>
      </c>
      <c r="B65" t="s">
        <v>884</v>
      </c>
      <c r="C65" t="s">
        <v>885</v>
      </c>
      <c r="D65" t="s">
        <v>904</v>
      </c>
      <c r="E65" t="s">
        <v>895</v>
      </c>
      <c r="F65" s="6">
        <v>43959</v>
      </c>
      <c r="G65">
        <v>72</v>
      </c>
      <c r="H65" s="6">
        <v>46150</v>
      </c>
      <c r="I65" t="s">
        <v>888</v>
      </c>
    </row>
    <row r="66" spans="1:9" x14ac:dyDescent="0.3">
      <c r="A66" t="s">
        <v>959</v>
      </c>
      <c r="B66" t="s">
        <v>884</v>
      </c>
      <c r="C66" t="s">
        <v>885</v>
      </c>
      <c r="D66" t="s">
        <v>904</v>
      </c>
      <c r="E66" t="s">
        <v>895</v>
      </c>
      <c r="F66" s="6">
        <v>43959</v>
      </c>
      <c r="G66">
        <v>72</v>
      </c>
      <c r="H66" s="6">
        <v>46150</v>
      </c>
      <c r="I66" t="s">
        <v>888</v>
      </c>
    </row>
    <row r="67" spans="1:9" x14ac:dyDescent="0.3">
      <c r="A67" t="s">
        <v>960</v>
      </c>
      <c r="B67" t="s">
        <v>884</v>
      </c>
      <c r="C67" t="s">
        <v>885</v>
      </c>
      <c r="D67" t="s">
        <v>886</v>
      </c>
      <c r="E67" t="s">
        <v>895</v>
      </c>
      <c r="F67" s="6">
        <v>45055</v>
      </c>
      <c r="G67">
        <v>36</v>
      </c>
      <c r="H67" s="6">
        <v>46151</v>
      </c>
      <c r="I67" t="s">
        <v>888</v>
      </c>
    </row>
    <row r="68" spans="1:9" x14ac:dyDescent="0.3">
      <c r="A68" t="s">
        <v>961</v>
      </c>
      <c r="B68" t="s">
        <v>884</v>
      </c>
      <c r="C68" t="s">
        <v>885</v>
      </c>
      <c r="D68" t="s">
        <v>886</v>
      </c>
      <c r="E68" t="s">
        <v>895</v>
      </c>
      <c r="F68" s="6">
        <v>44937</v>
      </c>
      <c r="G68">
        <v>40</v>
      </c>
      <c r="H68" s="6">
        <v>46153</v>
      </c>
      <c r="I68" t="s">
        <v>888</v>
      </c>
    </row>
    <row r="69" spans="1:9" x14ac:dyDescent="0.3">
      <c r="A69" t="s">
        <v>962</v>
      </c>
      <c r="B69" t="s">
        <v>884</v>
      </c>
      <c r="C69" t="s">
        <v>885</v>
      </c>
      <c r="D69" t="s">
        <v>893</v>
      </c>
      <c r="E69" t="s">
        <v>895</v>
      </c>
      <c r="F69" s="6">
        <v>45062</v>
      </c>
      <c r="G69">
        <v>36</v>
      </c>
      <c r="H69" s="6">
        <v>46158</v>
      </c>
      <c r="I69" t="s">
        <v>888</v>
      </c>
    </row>
    <row r="70" spans="1:9" x14ac:dyDescent="0.3">
      <c r="A70" t="s">
        <v>963</v>
      </c>
      <c r="B70" t="s">
        <v>884</v>
      </c>
      <c r="C70" t="s">
        <v>885</v>
      </c>
      <c r="D70" t="s">
        <v>886</v>
      </c>
      <c r="E70" t="s">
        <v>895</v>
      </c>
      <c r="F70" s="6">
        <v>44155</v>
      </c>
      <c r="G70">
        <v>66</v>
      </c>
      <c r="H70" s="6">
        <v>46162</v>
      </c>
      <c r="I70" t="s">
        <v>888</v>
      </c>
    </row>
    <row r="71" spans="1:9" x14ac:dyDescent="0.3">
      <c r="A71" t="s">
        <v>964</v>
      </c>
      <c r="B71" t="s">
        <v>884</v>
      </c>
      <c r="C71" t="s">
        <v>885</v>
      </c>
      <c r="D71" t="s">
        <v>886</v>
      </c>
      <c r="E71" t="s">
        <v>895</v>
      </c>
      <c r="F71" s="6">
        <v>44155</v>
      </c>
      <c r="G71">
        <v>66</v>
      </c>
      <c r="H71" s="6">
        <v>46162</v>
      </c>
      <c r="I71" t="s">
        <v>888</v>
      </c>
    </row>
    <row r="72" spans="1:9" x14ac:dyDescent="0.3">
      <c r="A72" t="s">
        <v>965</v>
      </c>
      <c r="B72" t="s">
        <v>884</v>
      </c>
      <c r="C72" t="s">
        <v>885</v>
      </c>
      <c r="D72" t="s">
        <v>893</v>
      </c>
      <c r="E72" t="s">
        <v>895</v>
      </c>
      <c r="F72" s="6">
        <v>44155</v>
      </c>
      <c r="G72">
        <v>66</v>
      </c>
      <c r="H72" s="6">
        <v>46162</v>
      </c>
      <c r="I72" t="s">
        <v>888</v>
      </c>
    </row>
    <row r="73" spans="1:9" x14ac:dyDescent="0.3">
      <c r="A73" t="s">
        <v>966</v>
      </c>
      <c r="B73" t="s">
        <v>884</v>
      </c>
      <c r="C73" t="s">
        <v>885</v>
      </c>
      <c r="D73" t="s">
        <v>893</v>
      </c>
      <c r="E73" t="s">
        <v>895</v>
      </c>
      <c r="F73" s="6">
        <v>44155</v>
      </c>
      <c r="G73">
        <v>66</v>
      </c>
      <c r="H73" s="6">
        <v>46162</v>
      </c>
      <c r="I73" t="s">
        <v>888</v>
      </c>
    </row>
    <row r="74" spans="1:9" x14ac:dyDescent="0.3">
      <c r="A74" t="s">
        <v>967</v>
      </c>
      <c r="B74" t="s">
        <v>884</v>
      </c>
      <c r="C74" t="s">
        <v>885</v>
      </c>
      <c r="D74" t="s">
        <v>886</v>
      </c>
      <c r="E74" t="s">
        <v>895</v>
      </c>
      <c r="F74" s="6">
        <v>44155</v>
      </c>
      <c r="G74">
        <v>66</v>
      </c>
      <c r="H74" s="6">
        <v>46162</v>
      </c>
      <c r="I74" t="s">
        <v>888</v>
      </c>
    </row>
    <row r="75" spans="1:9" x14ac:dyDescent="0.3">
      <c r="A75" t="s">
        <v>968</v>
      </c>
      <c r="B75" t="s">
        <v>884</v>
      </c>
      <c r="C75" t="s">
        <v>885</v>
      </c>
      <c r="D75" t="s">
        <v>886</v>
      </c>
      <c r="E75" t="s">
        <v>895</v>
      </c>
      <c r="F75" s="6">
        <v>44155</v>
      </c>
      <c r="G75">
        <v>66</v>
      </c>
      <c r="H75" s="6">
        <v>46162</v>
      </c>
      <c r="I75" t="s">
        <v>888</v>
      </c>
    </row>
    <row r="76" spans="1:9" x14ac:dyDescent="0.3">
      <c r="A76" t="s">
        <v>969</v>
      </c>
      <c r="B76" t="s">
        <v>884</v>
      </c>
      <c r="C76" t="s">
        <v>885</v>
      </c>
      <c r="D76" t="s">
        <v>937</v>
      </c>
      <c r="E76" t="s">
        <v>895</v>
      </c>
      <c r="F76" s="6">
        <v>42390</v>
      </c>
      <c r="G76">
        <v>124</v>
      </c>
      <c r="H76" s="6">
        <v>46163</v>
      </c>
      <c r="I76" t="s">
        <v>888</v>
      </c>
    </row>
    <row r="77" spans="1:9" x14ac:dyDescent="0.3">
      <c r="A77" t="s">
        <v>970</v>
      </c>
      <c r="B77" t="s">
        <v>884</v>
      </c>
      <c r="C77" t="s">
        <v>885</v>
      </c>
      <c r="D77" t="s">
        <v>886</v>
      </c>
      <c r="E77" t="s">
        <v>895</v>
      </c>
      <c r="F77" s="6">
        <v>45841</v>
      </c>
      <c r="G77">
        <v>11</v>
      </c>
      <c r="H77" s="6">
        <v>46170</v>
      </c>
      <c r="I77" t="s">
        <v>888</v>
      </c>
    </row>
    <row r="78" spans="1:9" x14ac:dyDescent="0.3">
      <c r="A78" t="s">
        <v>971</v>
      </c>
      <c r="B78" t="s">
        <v>884</v>
      </c>
      <c r="C78" t="s">
        <v>885</v>
      </c>
      <c r="D78" t="s">
        <v>904</v>
      </c>
      <c r="E78" t="s">
        <v>895</v>
      </c>
      <c r="F78" s="6">
        <v>45841</v>
      </c>
      <c r="G78">
        <v>11</v>
      </c>
      <c r="H78" s="6">
        <v>46170</v>
      </c>
      <c r="I78" t="s">
        <v>888</v>
      </c>
    </row>
    <row r="79" spans="1:9" x14ac:dyDescent="0.3">
      <c r="A79" t="s">
        <v>972</v>
      </c>
      <c r="B79" t="s">
        <v>884</v>
      </c>
      <c r="C79" t="s">
        <v>885</v>
      </c>
      <c r="D79" t="s">
        <v>937</v>
      </c>
      <c r="E79" t="s">
        <v>895</v>
      </c>
      <c r="F79" s="6">
        <v>43980</v>
      </c>
      <c r="G79">
        <v>72</v>
      </c>
      <c r="H79" s="6">
        <v>46171</v>
      </c>
      <c r="I79" t="s">
        <v>888</v>
      </c>
    </row>
    <row r="80" spans="1:9" x14ac:dyDescent="0.3">
      <c r="A80" t="s">
        <v>973</v>
      </c>
      <c r="B80" t="s">
        <v>884</v>
      </c>
      <c r="C80" t="s">
        <v>885</v>
      </c>
      <c r="D80" t="s">
        <v>904</v>
      </c>
      <c r="E80" t="s">
        <v>895</v>
      </c>
      <c r="F80" s="6">
        <v>43984</v>
      </c>
      <c r="G80">
        <v>72</v>
      </c>
      <c r="H80" s="6">
        <v>46175</v>
      </c>
      <c r="I80" t="s">
        <v>888</v>
      </c>
    </row>
    <row r="81" spans="1:9" x14ac:dyDescent="0.3">
      <c r="A81" t="s">
        <v>974</v>
      </c>
      <c r="B81" t="s">
        <v>884</v>
      </c>
      <c r="C81" t="s">
        <v>885</v>
      </c>
      <c r="D81" t="s">
        <v>893</v>
      </c>
      <c r="E81" t="s">
        <v>895</v>
      </c>
      <c r="F81" s="6">
        <v>42529</v>
      </c>
      <c r="G81">
        <v>120</v>
      </c>
      <c r="H81" s="6">
        <v>46181</v>
      </c>
      <c r="I81" t="s">
        <v>888</v>
      </c>
    </row>
    <row r="82" spans="1:9" x14ac:dyDescent="0.3">
      <c r="A82" t="s">
        <v>975</v>
      </c>
      <c r="B82" t="s">
        <v>884</v>
      </c>
      <c r="C82" t="s">
        <v>885</v>
      </c>
      <c r="D82" t="s">
        <v>929</v>
      </c>
      <c r="E82" t="s">
        <v>895</v>
      </c>
      <c r="F82" s="6">
        <v>41803</v>
      </c>
      <c r="G82">
        <v>144</v>
      </c>
      <c r="H82" s="6">
        <v>46186</v>
      </c>
      <c r="I82" t="s">
        <v>888</v>
      </c>
    </row>
    <row r="83" spans="1:9" x14ac:dyDescent="0.3">
      <c r="A83" t="s">
        <v>976</v>
      </c>
      <c r="B83" t="s">
        <v>884</v>
      </c>
      <c r="C83" t="s">
        <v>885</v>
      </c>
      <c r="D83" t="s">
        <v>929</v>
      </c>
      <c r="E83" t="s">
        <v>895</v>
      </c>
      <c r="F83" s="6">
        <v>41803</v>
      </c>
      <c r="G83">
        <v>144</v>
      </c>
      <c r="H83" s="6">
        <v>46186</v>
      </c>
      <c r="I83" t="s">
        <v>888</v>
      </c>
    </row>
    <row r="84" spans="1:9" x14ac:dyDescent="0.3">
      <c r="A84" t="s">
        <v>977</v>
      </c>
      <c r="B84" t="s">
        <v>884</v>
      </c>
      <c r="C84" t="s">
        <v>885</v>
      </c>
      <c r="D84" t="s">
        <v>929</v>
      </c>
      <c r="E84" t="s">
        <v>895</v>
      </c>
      <c r="F84" s="6">
        <v>41803</v>
      </c>
      <c r="G84">
        <v>144</v>
      </c>
      <c r="H84" s="6">
        <v>46186</v>
      </c>
      <c r="I84" t="s">
        <v>888</v>
      </c>
    </row>
    <row r="85" spans="1:9" x14ac:dyDescent="0.3">
      <c r="A85" t="s">
        <v>978</v>
      </c>
      <c r="B85" t="s">
        <v>884</v>
      </c>
      <c r="C85" t="s">
        <v>885</v>
      </c>
      <c r="D85" t="s">
        <v>893</v>
      </c>
      <c r="E85" t="s">
        <v>895</v>
      </c>
      <c r="F85" s="6">
        <v>44365</v>
      </c>
      <c r="G85">
        <v>60</v>
      </c>
      <c r="H85" s="6">
        <v>46191</v>
      </c>
      <c r="I85" t="s">
        <v>888</v>
      </c>
    </row>
    <row r="86" spans="1:9" x14ac:dyDescent="0.3">
      <c r="A86" t="s">
        <v>979</v>
      </c>
      <c r="B86" t="s">
        <v>884</v>
      </c>
      <c r="C86" t="s">
        <v>885</v>
      </c>
      <c r="D86" t="s">
        <v>886</v>
      </c>
      <c r="E86" t="s">
        <v>895</v>
      </c>
      <c r="F86" s="6">
        <v>44155</v>
      </c>
      <c r="G86">
        <v>67</v>
      </c>
      <c r="H86" s="6">
        <v>46193</v>
      </c>
      <c r="I86" t="s">
        <v>888</v>
      </c>
    </row>
    <row r="87" spans="1:9" x14ac:dyDescent="0.3">
      <c r="A87" t="s">
        <v>980</v>
      </c>
      <c r="B87" t="s">
        <v>884</v>
      </c>
      <c r="C87" t="s">
        <v>885</v>
      </c>
      <c r="D87" t="s">
        <v>937</v>
      </c>
      <c r="E87" t="s">
        <v>895</v>
      </c>
      <c r="F87" s="6">
        <v>44155</v>
      </c>
      <c r="G87">
        <v>67</v>
      </c>
      <c r="H87" s="6">
        <v>46193</v>
      </c>
      <c r="I87" t="s">
        <v>888</v>
      </c>
    </row>
    <row r="88" spans="1:9" x14ac:dyDescent="0.3">
      <c r="A88" t="s">
        <v>981</v>
      </c>
      <c r="B88" t="s">
        <v>884</v>
      </c>
      <c r="C88" t="s">
        <v>885</v>
      </c>
      <c r="D88" t="s">
        <v>886</v>
      </c>
      <c r="E88" t="s">
        <v>895</v>
      </c>
      <c r="F88" s="6">
        <v>44007</v>
      </c>
      <c r="G88">
        <v>72</v>
      </c>
      <c r="H88" s="6">
        <v>46198</v>
      </c>
      <c r="I88" t="s">
        <v>888</v>
      </c>
    </row>
    <row r="89" spans="1:9" x14ac:dyDescent="0.3">
      <c r="A89" t="s">
        <v>982</v>
      </c>
      <c r="B89" t="s">
        <v>884</v>
      </c>
      <c r="C89" t="s">
        <v>885</v>
      </c>
      <c r="D89" t="s">
        <v>937</v>
      </c>
      <c r="E89" t="s">
        <v>895</v>
      </c>
      <c r="F89" s="6">
        <v>44377</v>
      </c>
      <c r="G89">
        <v>60</v>
      </c>
      <c r="H89" s="6">
        <v>46203</v>
      </c>
      <c r="I89" t="s">
        <v>888</v>
      </c>
    </row>
    <row r="90" spans="1:9" x14ac:dyDescent="0.3">
      <c r="A90" t="s">
        <v>983</v>
      </c>
      <c r="B90" t="s">
        <v>884</v>
      </c>
      <c r="C90" t="s">
        <v>885</v>
      </c>
      <c r="D90" t="s">
        <v>893</v>
      </c>
      <c r="E90" t="s">
        <v>895</v>
      </c>
      <c r="F90" s="6">
        <v>44155</v>
      </c>
      <c r="G90">
        <v>68</v>
      </c>
      <c r="H90" s="6">
        <v>46223</v>
      </c>
      <c r="I90" t="s">
        <v>888</v>
      </c>
    </row>
    <row r="91" spans="1:9" x14ac:dyDescent="0.3">
      <c r="A91" t="s">
        <v>984</v>
      </c>
      <c r="B91" t="s">
        <v>884</v>
      </c>
      <c r="C91" t="s">
        <v>885</v>
      </c>
      <c r="D91" t="s">
        <v>929</v>
      </c>
      <c r="E91" t="s">
        <v>895</v>
      </c>
      <c r="F91" s="6">
        <v>44145</v>
      </c>
      <c r="G91">
        <v>69</v>
      </c>
      <c r="H91" s="6">
        <v>46244</v>
      </c>
      <c r="I91" t="s">
        <v>888</v>
      </c>
    </row>
    <row r="92" spans="1:9" x14ac:dyDescent="0.3">
      <c r="A92" t="s">
        <v>985</v>
      </c>
      <c r="B92" t="s">
        <v>884</v>
      </c>
      <c r="C92" t="s">
        <v>885</v>
      </c>
      <c r="D92" t="s">
        <v>929</v>
      </c>
      <c r="E92" t="s">
        <v>895</v>
      </c>
      <c r="F92" s="6">
        <v>44145</v>
      </c>
      <c r="G92">
        <v>69</v>
      </c>
      <c r="H92" s="6">
        <v>46244</v>
      </c>
      <c r="I92" t="s">
        <v>888</v>
      </c>
    </row>
    <row r="93" spans="1:9" x14ac:dyDescent="0.3">
      <c r="A93" t="s">
        <v>986</v>
      </c>
      <c r="B93" t="s">
        <v>884</v>
      </c>
      <c r="C93" t="s">
        <v>885</v>
      </c>
      <c r="D93" t="s">
        <v>929</v>
      </c>
      <c r="E93" t="s">
        <v>895</v>
      </c>
      <c r="F93" s="6">
        <v>44145</v>
      </c>
      <c r="G93">
        <v>69</v>
      </c>
      <c r="H93" s="6">
        <v>46244</v>
      </c>
      <c r="I93" t="s">
        <v>888</v>
      </c>
    </row>
    <row r="94" spans="1:9" x14ac:dyDescent="0.3">
      <c r="A94" t="s">
        <v>987</v>
      </c>
      <c r="B94" t="s">
        <v>884</v>
      </c>
      <c r="C94" t="s">
        <v>885</v>
      </c>
      <c r="D94" t="s">
        <v>929</v>
      </c>
      <c r="E94" t="s">
        <v>895</v>
      </c>
      <c r="F94" s="6">
        <v>44145</v>
      </c>
      <c r="G94">
        <v>69</v>
      </c>
      <c r="H94" s="6">
        <v>46244</v>
      </c>
      <c r="I94" t="s">
        <v>888</v>
      </c>
    </row>
    <row r="95" spans="1:9" x14ac:dyDescent="0.3">
      <c r="A95" t="s">
        <v>988</v>
      </c>
      <c r="B95" t="s">
        <v>884</v>
      </c>
      <c r="C95" t="s">
        <v>885</v>
      </c>
      <c r="D95" t="s">
        <v>929</v>
      </c>
      <c r="E95" t="s">
        <v>895</v>
      </c>
      <c r="F95" s="6">
        <v>44145</v>
      </c>
      <c r="G95">
        <v>69</v>
      </c>
      <c r="H95" s="6">
        <v>46244</v>
      </c>
      <c r="I95" t="s">
        <v>888</v>
      </c>
    </row>
    <row r="96" spans="1:9" x14ac:dyDescent="0.3">
      <c r="A96" t="s">
        <v>989</v>
      </c>
      <c r="B96" t="s">
        <v>884</v>
      </c>
      <c r="C96" t="s">
        <v>885</v>
      </c>
      <c r="D96" t="s">
        <v>929</v>
      </c>
      <c r="E96" t="s">
        <v>895</v>
      </c>
      <c r="F96" s="6">
        <v>44145</v>
      </c>
      <c r="G96">
        <v>69</v>
      </c>
      <c r="H96" s="6">
        <v>46244</v>
      </c>
      <c r="I96" t="s">
        <v>888</v>
      </c>
    </row>
    <row r="97" spans="1:9" x14ac:dyDescent="0.3">
      <c r="A97" t="s">
        <v>990</v>
      </c>
      <c r="B97" t="s">
        <v>884</v>
      </c>
      <c r="C97" t="s">
        <v>885</v>
      </c>
      <c r="D97" t="s">
        <v>937</v>
      </c>
      <c r="E97" t="s">
        <v>895</v>
      </c>
      <c r="F97" s="6">
        <v>40402</v>
      </c>
      <c r="G97">
        <v>192</v>
      </c>
      <c r="H97" s="6">
        <v>46246</v>
      </c>
      <c r="I97" t="s">
        <v>888</v>
      </c>
    </row>
    <row r="98" spans="1:9" x14ac:dyDescent="0.3">
      <c r="A98" t="s">
        <v>991</v>
      </c>
      <c r="B98" t="s">
        <v>884</v>
      </c>
      <c r="C98" t="s">
        <v>885</v>
      </c>
      <c r="D98" t="s">
        <v>886</v>
      </c>
      <c r="E98" t="s">
        <v>895</v>
      </c>
      <c r="F98" s="6">
        <v>45152</v>
      </c>
      <c r="G98">
        <v>36</v>
      </c>
      <c r="H98" s="6">
        <v>46248</v>
      </c>
      <c r="I98" t="s">
        <v>888</v>
      </c>
    </row>
    <row r="99" spans="1:9" x14ac:dyDescent="0.3">
      <c r="A99" t="s">
        <v>992</v>
      </c>
      <c r="B99" t="s">
        <v>884</v>
      </c>
      <c r="C99" t="s">
        <v>885</v>
      </c>
      <c r="D99" t="s">
        <v>937</v>
      </c>
      <c r="E99" t="s">
        <v>895</v>
      </c>
      <c r="F99" s="6">
        <v>44155</v>
      </c>
      <c r="G99">
        <v>69</v>
      </c>
      <c r="H99" s="6">
        <v>46254</v>
      </c>
      <c r="I99" t="s">
        <v>888</v>
      </c>
    </row>
    <row r="100" spans="1:9" x14ac:dyDescent="0.3">
      <c r="A100" t="s">
        <v>993</v>
      </c>
      <c r="B100" t="s">
        <v>884</v>
      </c>
      <c r="C100" t="s">
        <v>885</v>
      </c>
      <c r="D100" t="s">
        <v>937</v>
      </c>
      <c r="E100" t="s">
        <v>895</v>
      </c>
      <c r="F100" s="6">
        <v>44155</v>
      </c>
      <c r="G100">
        <v>69</v>
      </c>
      <c r="H100" s="6">
        <v>46254</v>
      </c>
      <c r="I100" t="s">
        <v>888</v>
      </c>
    </row>
    <row r="101" spans="1:9" x14ac:dyDescent="0.3">
      <c r="A101" t="s">
        <v>994</v>
      </c>
      <c r="B101" t="s">
        <v>884</v>
      </c>
      <c r="C101" t="s">
        <v>885</v>
      </c>
      <c r="D101" t="s">
        <v>886</v>
      </c>
      <c r="E101" t="s">
        <v>895</v>
      </c>
      <c r="F101" s="6">
        <v>44369</v>
      </c>
      <c r="G101">
        <v>62</v>
      </c>
      <c r="H101" s="6">
        <v>46256</v>
      </c>
      <c r="I101" t="s">
        <v>888</v>
      </c>
    </row>
    <row r="102" spans="1:9" x14ac:dyDescent="0.3">
      <c r="A102" t="s">
        <v>995</v>
      </c>
      <c r="B102" t="s">
        <v>884</v>
      </c>
      <c r="C102" t="s">
        <v>885</v>
      </c>
      <c r="D102" t="s">
        <v>886</v>
      </c>
      <c r="E102" t="s">
        <v>895</v>
      </c>
      <c r="F102" s="6">
        <v>45537</v>
      </c>
      <c r="G102">
        <v>24</v>
      </c>
      <c r="H102" s="6">
        <v>46267</v>
      </c>
      <c r="I102" t="s">
        <v>888</v>
      </c>
    </row>
    <row r="103" spans="1:9" x14ac:dyDescent="0.3">
      <c r="A103" t="s">
        <v>996</v>
      </c>
      <c r="B103" t="s">
        <v>884</v>
      </c>
      <c r="C103" t="s">
        <v>885</v>
      </c>
      <c r="D103" t="s">
        <v>904</v>
      </c>
      <c r="E103" t="s">
        <v>895</v>
      </c>
      <c r="F103" s="6">
        <v>45387</v>
      </c>
      <c r="G103">
        <v>29</v>
      </c>
      <c r="H103" s="6">
        <v>46270</v>
      </c>
      <c r="I103" t="s">
        <v>888</v>
      </c>
    </row>
    <row r="104" spans="1:9" x14ac:dyDescent="0.3">
      <c r="A104" t="s">
        <v>997</v>
      </c>
      <c r="B104" t="s">
        <v>884</v>
      </c>
      <c r="C104" t="s">
        <v>885</v>
      </c>
      <c r="D104" t="s">
        <v>904</v>
      </c>
      <c r="E104" t="s">
        <v>895</v>
      </c>
      <c r="F104" s="6">
        <v>45387</v>
      </c>
      <c r="G104">
        <v>29</v>
      </c>
      <c r="H104" s="6">
        <v>46270</v>
      </c>
      <c r="I104" t="s">
        <v>888</v>
      </c>
    </row>
    <row r="105" spans="1:9" x14ac:dyDescent="0.3">
      <c r="A105" t="s">
        <v>998</v>
      </c>
      <c r="B105" t="s">
        <v>884</v>
      </c>
      <c r="C105" t="s">
        <v>885</v>
      </c>
      <c r="D105" t="s">
        <v>929</v>
      </c>
      <c r="E105" t="s">
        <v>895</v>
      </c>
      <c r="F105" s="6">
        <v>44104</v>
      </c>
      <c r="G105">
        <v>72</v>
      </c>
      <c r="H105" s="6">
        <v>46295</v>
      </c>
      <c r="I105" t="s">
        <v>888</v>
      </c>
    </row>
    <row r="106" spans="1:9" x14ac:dyDescent="0.3">
      <c r="A106" t="s">
        <v>999</v>
      </c>
      <c r="B106" t="s">
        <v>884</v>
      </c>
      <c r="C106" t="s">
        <v>885</v>
      </c>
      <c r="D106" t="s">
        <v>929</v>
      </c>
      <c r="E106" t="s">
        <v>895</v>
      </c>
      <c r="F106" s="6">
        <v>44104</v>
      </c>
      <c r="G106">
        <v>72</v>
      </c>
      <c r="H106" s="6">
        <v>46295</v>
      </c>
      <c r="I106" t="s">
        <v>888</v>
      </c>
    </row>
    <row r="107" spans="1:9" x14ac:dyDescent="0.3">
      <c r="A107" t="s">
        <v>1000</v>
      </c>
      <c r="B107" t="s">
        <v>884</v>
      </c>
      <c r="C107" t="s">
        <v>885</v>
      </c>
      <c r="D107" t="s">
        <v>891</v>
      </c>
      <c r="E107" t="s">
        <v>895</v>
      </c>
      <c r="F107" s="6">
        <v>43389</v>
      </c>
      <c r="G107">
        <v>96</v>
      </c>
      <c r="H107" s="6">
        <v>46311</v>
      </c>
      <c r="I107" t="s">
        <v>888</v>
      </c>
    </row>
    <row r="108" spans="1:9" x14ac:dyDescent="0.3">
      <c r="A108" t="s">
        <v>1001</v>
      </c>
      <c r="B108" t="s">
        <v>884</v>
      </c>
      <c r="C108" t="s">
        <v>885</v>
      </c>
      <c r="D108" t="s">
        <v>886</v>
      </c>
      <c r="E108" t="s">
        <v>895</v>
      </c>
      <c r="F108" s="6">
        <v>44155</v>
      </c>
      <c r="G108">
        <v>71</v>
      </c>
      <c r="H108" s="6">
        <v>46315</v>
      </c>
      <c r="I108" t="s">
        <v>888</v>
      </c>
    </row>
    <row r="109" spans="1:9" x14ac:dyDescent="0.3">
      <c r="A109" t="s">
        <v>1002</v>
      </c>
      <c r="B109" t="s">
        <v>884</v>
      </c>
      <c r="C109" t="s">
        <v>885</v>
      </c>
      <c r="D109" t="s">
        <v>893</v>
      </c>
      <c r="E109" t="s">
        <v>895</v>
      </c>
      <c r="F109" s="6">
        <v>44155</v>
      </c>
      <c r="G109">
        <v>71</v>
      </c>
      <c r="H109" s="6">
        <v>46315</v>
      </c>
      <c r="I109" t="s">
        <v>888</v>
      </c>
    </row>
    <row r="110" spans="1:9" x14ac:dyDescent="0.3">
      <c r="A110" t="s">
        <v>1003</v>
      </c>
      <c r="B110" t="s">
        <v>884</v>
      </c>
      <c r="C110" t="s">
        <v>885</v>
      </c>
      <c r="D110" t="s">
        <v>893</v>
      </c>
      <c r="E110" t="s">
        <v>895</v>
      </c>
      <c r="F110" s="6">
        <v>44316</v>
      </c>
      <c r="G110">
        <v>66</v>
      </c>
      <c r="H110" s="6">
        <v>46321</v>
      </c>
      <c r="I110" t="s">
        <v>888</v>
      </c>
    </row>
    <row r="111" spans="1:9" x14ac:dyDescent="0.3">
      <c r="A111" t="s">
        <v>1004</v>
      </c>
      <c r="B111" t="s">
        <v>884</v>
      </c>
      <c r="C111" t="s">
        <v>885</v>
      </c>
      <c r="D111" t="s">
        <v>893</v>
      </c>
      <c r="E111" t="s">
        <v>895</v>
      </c>
      <c r="F111" s="6">
        <v>43399</v>
      </c>
      <c r="G111">
        <v>96</v>
      </c>
      <c r="H111" s="6">
        <v>46321</v>
      </c>
      <c r="I111" t="s">
        <v>888</v>
      </c>
    </row>
    <row r="112" spans="1:9" x14ac:dyDescent="0.3">
      <c r="A112" t="s">
        <v>1005</v>
      </c>
      <c r="B112" t="s">
        <v>884</v>
      </c>
      <c r="C112" t="s">
        <v>885</v>
      </c>
      <c r="D112" t="s">
        <v>893</v>
      </c>
      <c r="E112" t="s">
        <v>895</v>
      </c>
      <c r="F112" s="6">
        <v>44316</v>
      </c>
      <c r="G112">
        <v>66</v>
      </c>
      <c r="H112" s="6">
        <v>46321</v>
      </c>
      <c r="I112" t="s">
        <v>888</v>
      </c>
    </row>
    <row r="113" spans="1:9" x14ac:dyDescent="0.3">
      <c r="A113" t="s">
        <v>1006</v>
      </c>
      <c r="B113" t="s">
        <v>884</v>
      </c>
      <c r="C113" t="s">
        <v>885</v>
      </c>
      <c r="D113" t="s">
        <v>929</v>
      </c>
      <c r="E113" t="s">
        <v>895</v>
      </c>
      <c r="F113" s="6">
        <v>44145</v>
      </c>
      <c r="G113">
        <v>72</v>
      </c>
      <c r="H113" s="6">
        <v>46336</v>
      </c>
      <c r="I113" t="s">
        <v>888</v>
      </c>
    </row>
    <row r="114" spans="1:9" x14ac:dyDescent="0.3">
      <c r="A114" t="s">
        <v>1007</v>
      </c>
      <c r="B114" t="s">
        <v>884</v>
      </c>
      <c r="C114" t="s">
        <v>885</v>
      </c>
      <c r="D114" t="s">
        <v>929</v>
      </c>
      <c r="E114" t="s">
        <v>895</v>
      </c>
      <c r="F114" s="6">
        <v>44145</v>
      </c>
      <c r="G114">
        <v>72</v>
      </c>
      <c r="H114" s="6">
        <v>46336</v>
      </c>
      <c r="I114" t="s">
        <v>888</v>
      </c>
    </row>
    <row r="115" spans="1:9" x14ac:dyDescent="0.3">
      <c r="A115" t="s">
        <v>1008</v>
      </c>
      <c r="B115" t="s">
        <v>884</v>
      </c>
      <c r="C115" t="s">
        <v>885</v>
      </c>
      <c r="D115" t="s">
        <v>929</v>
      </c>
      <c r="E115" t="s">
        <v>895</v>
      </c>
      <c r="F115" s="6">
        <v>44145</v>
      </c>
      <c r="G115">
        <v>72</v>
      </c>
      <c r="H115" s="6">
        <v>46336</v>
      </c>
      <c r="I115" t="s">
        <v>888</v>
      </c>
    </row>
    <row r="116" spans="1:9" x14ac:dyDescent="0.3">
      <c r="A116" t="s">
        <v>1009</v>
      </c>
      <c r="B116" t="s">
        <v>884</v>
      </c>
      <c r="C116" t="s">
        <v>885</v>
      </c>
      <c r="D116" t="s">
        <v>929</v>
      </c>
      <c r="E116" t="s">
        <v>895</v>
      </c>
      <c r="F116" s="6">
        <v>44145</v>
      </c>
      <c r="G116">
        <v>72</v>
      </c>
      <c r="H116" s="6">
        <v>46336</v>
      </c>
      <c r="I116" t="s">
        <v>888</v>
      </c>
    </row>
    <row r="117" spans="1:9" x14ac:dyDescent="0.3">
      <c r="A117" t="s">
        <v>1010</v>
      </c>
      <c r="B117" t="s">
        <v>884</v>
      </c>
      <c r="C117" t="s">
        <v>885</v>
      </c>
      <c r="D117" t="s">
        <v>929</v>
      </c>
      <c r="E117" t="s">
        <v>895</v>
      </c>
      <c r="F117" s="6">
        <v>44145</v>
      </c>
      <c r="G117">
        <v>72</v>
      </c>
      <c r="H117" s="6">
        <v>46336</v>
      </c>
      <c r="I117" t="s">
        <v>888</v>
      </c>
    </row>
    <row r="118" spans="1:9" x14ac:dyDescent="0.3">
      <c r="A118" t="s">
        <v>1011</v>
      </c>
      <c r="B118" t="s">
        <v>884</v>
      </c>
      <c r="C118" t="s">
        <v>885</v>
      </c>
      <c r="D118" t="s">
        <v>929</v>
      </c>
      <c r="E118" t="s">
        <v>895</v>
      </c>
      <c r="F118" s="6">
        <v>44145</v>
      </c>
      <c r="G118">
        <v>72</v>
      </c>
      <c r="H118" s="6">
        <v>46336</v>
      </c>
      <c r="I118" t="s">
        <v>888</v>
      </c>
    </row>
    <row r="119" spans="1:9" x14ac:dyDescent="0.3">
      <c r="A119" t="s">
        <v>1012</v>
      </c>
      <c r="B119" t="s">
        <v>884</v>
      </c>
      <c r="C119" t="s">
        <v>885</v>
      </c>
      <c r="D119" t="s">
        <v>929</v>
      </c>
      <c r="E119" t="s">
        <v>895</v>
      </c>
      <c r="F119" s="6">
        <v>44145</v>
      </c>
      <c r="G119">
        <v>72</v>
      </c>
      <c r="H119" s="6">
        <v>46336</v>
      </c>
      <c r="I119" t="s">
        <v>888</v>
      </c>
    </row>
    <row r="120" spans="1:9" x14ac:dyDescent="0.3">
      <c r="A120" t="s">
        <v>1013</v>
      </c>
      <c r="B120" t="s">
        <v>884</v>
      </c>
      <c r="C120" t="s">
        <v>885</v>
      </c>
      <c r="D120" t="s">
        <v>929</v>
      </c>
      <c r="E120" t="s">
        <v>895</v>
      </c>
      <c r="F120" s="6">
        <v>44145</v>
      </c>
      <c r="G120">
        <v>72</v>
      </c>
      <c r="H120" s="6">
        <v>46336</v>
      </c>
      <c r="I120" t="s">
        <v>888</v>
      </c>
    </row>
    <row r="121" spans="1:9" x14ac:dyDescent="0.3">
      <c r="A121" t="s">
        <v>1014</v>
      </c>
      <c r="B121" t="s">
        <v>884</v>
      </c>
      <c r="C121" t="s">
        <v>885</v>
      </c>
      <c r="D121" t="s">
        <v>929</v>
      </c>
      <c r="E121" t="s">
        <v>895</v>
      </c>
      <c r="F121" s="6">
        <v>44145</v>
      </c>
      <c r="G121">
        <v>72</v>
      </c>
      <c r="H121" s="6">
        <v>46336</v>
      </c>
      <c r="I121" t="s">
        <v>888</v>
      </c>
    </row>
    <row r="122" spans="1:9" x14ac:dyDescent="0.3">
      <c r="A122" t="s">
        <v>1015</v>
      </c>
      <c r="B122" t="s">
        <v>884</v>
      </c>
      <c r="C122" t="s">
        <v>885</v>
      </c>
      <c r="D122" t="s">
        <v>929</v>
      </c>
      <c r="E122" t="s">
        <v>895</v>
      </c>
      <c r="F122" s="6">
        <v>44145</v>
      </c>
      <c r="G122">
        <v>72</v>
      </c>
      <c r="H122" s="6">
        <v>46336</v>
      </c>
      <c r="I122" t="s">
        <v>888</v>
      </c>
    </row>
    <row r="123" spans="1:9" x14ac:dyDescent="0.3">
      <c r="A123" t="s">
        <v>1016</v>
      </c>
      <c r="B123" t="s">
        <v>884</v>
      </c>
      <c r="C123" t="s">
        <v>885</v>
      </c>
      <c r="D123" t="s">
        <v>929</v>
      </c>
      <c r="E123" t="s">
        <v>895</v>
      </c>
      <c r="F123" s="6">
        <v>44145</v>
      </c>
      <c r="G123">
        <v>72</v>
      </c>
      <c r="H123" s="6">
        <v>46336</v>
      </c>
      <c r="I123" t="s">
        <v>888</v>
      </c>
    </row>
    <row r="124" spans="1:9" x14ac:dyDescent="0.3">
      <c r="A124" t="s">
        <v>1017</v>
      </c>
      <c r="B124" t="s">
        <v>884</v>
      </c>
      <c r="C124" t="s">
        <v>885</v>
      </c>
      <c r="D124" t="s">
        <v>929</v>
      </c>
      <c r="E124" t="s">
        <v>895</v>
      </c>
      <c r="F124" s="6">
        <v>44145</v>
      </c>
      <c r="G124">
        <v>72</v>
      </c>
      <c r="H124" s="6">
        <v>46336</v>
      </c>
      <c r="I124" t="s">
        <v>888</v>
      </c>
    </row>
    <row r="125" spans="1:9" x14ac:dyDescent="0.3">
      <c r="A125" t="s">
        <v>1018</v>
      </c>
      <c r="B125" t="s">
        <v>884</v>
      </c>
      <c r="C125" t="s">
        <v>885</v>
      </c>
      <c r="D125" t="s">
        <v>929</v>
      </c>
      <c r="E125" t="s">
        <v>895</v>
      </c>
      <c r="F125" s="6">
        <v>44145</v>
      </c>
      <c r="G125">
        <v>72</v>
      </c>
      <c r="H125" s="6">
        <v>46336</v>
      </c>
      <c r="I125" t="s">
        <v>888</v>
      </c>
    </row>
    <row r="126" spans="1:9" x14ac:dyDescent="0.3">
      <c r="A126" t="s">
        <v>1019</v>
      </c>
      <c r="B126" t="s">
        <v>884</v>
      </c>
      <c r="C126" t="s">
        <v>885</v>
      </c>
      <c r="D126" t="s">
        <v>929</v>
      </c>
      <c r="E126" t="s">
        <v>895</v>
      </c>
      <c r="F126" s="6">
        <v>44145</v>
      </c>
      <c r="G126">
        <v>72</v>
      </c>
      <c r="H126" s="6">
        <v>46336</v>
      </c>
      <c r="I126" t="s">
        <v>888</v>
      </c>
    </row>
    <row r="127" spans="1:9" x14ac:dyDescent="0.3">
      <c r="A127" t="s">
        <v>1020</v>
      </c>
      <c r="B127" t="s">
        <v>884</v>
      </c>
      <c r="C127" t="s">
        <v>885</v>
      </c>
      <c r="D127" t="s">
        <v>929</v>
      </c>
      <c r="E127" t="s">
        <v>895</v>
      </c>
      <c r="F127" s="6">
        <v>44145</v>
      </c>
      <c r="G127">
        <v>72</v>
      </c>
      <c r="H127" s="6">
        <v>46336</v>
      </c>
      <c r="I127" t="s">
        <v>888</v>
      </c>
    </row>
    <row r="128" spans="1:9" x14ac:dyDescent="0.3">
      <c r="A128" t="s">
        <v>1021</v>
      </c>
      <c r="B128" t="s">
        <v>884</v>
      </c>
      <c r="C128" t="s">
        <v>885</v>
      </c>
      <c r="D128" t="s">
        <v>929</v>
      </c>
      <c r="E128" t="s">
        <v>895</v>
      </c>
      <c r="F128" s="6">
        <v>44145</v>
      </c>
      <c r="G128">
        <v>72</v>
      </c>
      <c r="H128" s="6">
        <v>46336</v>
      </c>
      <c r="I128" t="s">
        <v>888</v>
      </c>
    </row>
    <row r="129" spans="1:9" x14ac:dyDescent="0.3">
      <c r="A129" t="s">
        <v>1022</v>
      </c>
      <c r="B129" t="s">
        <v>884</v>
      </c>
      <c r="C129" t="s">
        <v>885</v>
      </c>
      <c r="D129" t="s">
        <v>929</v>
      </c>
      <c r="E129" t="s">
        <v>895</v>
      </c>
      <c r="F129" s="6">
        <v>44145</v>
      </c>
      <c r="G129">
        <v>72</v>
      </c>
      <c r="H129" s="6">
        <v>46336</v>
      </c>
      <c r="I129" t="s">
        <v>888</v>
      </c>
    </row>
    <row r="130" spans="1:9" x14ac:dyDescent="0.3">
      <c r="A130" t="s">
        <v>1023</v>
      </c>
      <c r="B130" t="s">
        <v>884</v>
      </c>
      <c r="C130" t="s">
        <v>885</v>
      </c>
      <c r="D130" t="s">
        <v>929</v>
      </c>
      <c r="E130" t="s">
        <v>895</v>
      </c>
      <c r="F130" s="6">
        <v>44145</v>
      </c>
      <c r="G130">
        <v>72</v>
      </c>
      <c r="H130" s="6">
        <v>46336</v>
      </c>
      <c r="I130" t="s">
        <v>888</v>
      </c>
    </row>
    <row r="131" spans="1:9" x14ac:dyDescent="0.3">
      <c r="A131" t="s">
        <v>1024</v>
      </c>
      <c r="B131" t="s">
        <v>884</v>
      </c>
      <c r="C131" t="s">
        <v>885</v>
      </c>
      <c r="D131" t="s">
        <v>929</v>
      </c>
      <c r="E131" t="s">
        <v>895</v>
      </c>
      <c r="F131" s="6">
        <v>44145</v>
      </c>
      <c r="G131">
        <v>72</v>
      </c>
      <c r="H131" s="6">
        <v>46336</v>
      </c>
      <c r="I131" t="s">
        <v>888</v>
      </c>
    </row>
    <row r="132" spans="1:9" x14ac:dyDescent="0.3">
      <c r="A132" t="s">
        <v>1025</v>
      </c>
      <c r="B132" t="s">
        <v>884</v>
      </c>
      <c r="C132" t="s">
        <v>885</v>
      </c>
      <c r="D132" t="s">
        <v>929</v>
      </c>
      <c r="E132" t="s">
        <v>895</v>
      </c>
      <c r="F132" s="6">
        <v>44145</v>
      </c>
      <c r="G132">
        <v>72</v>
      </c>
      <c r="H132" s="6">
        <v>46336</v>
      </c>
      <c r="I132" t="s">
        <v>888</v>
      </c>
    </row>
    <row r="133" spans="1:9" x14ac:dyDescent="0.3">
      <c r="A133" t="s">
        <v>1026</v>
      </c>
      <c r="B133" t="s">
        <v>884</v>
      </c>
      <c r="C133" t="s">
        <v>885</v>
      </c>
      <c r="D133" t="s">
        <v>929</v>
      </c>
      <c r="E133" t="s">
        <v>895</v>
      </c>
      <c r="F133" s="6">
        <v>44145</v>
      </c>
      <c r="G133">
        <v>72</v>
      </c>
      <c r="H133" s="6">
        <v>46336</v>
      </c>
      <c r="I133" t="s">
        <v>888</v>
      </c>
    </row>
    <row r="134" spans="1:9" x14ac:dyDescent="0.3">
      <c r="A134" t="s">
        <v>1027</v>
      </c>
      <c r="B134" t="s">
        <v>884</v>
      </c>
      <c r="C134" t="s">
        <v>885</v>
      </c>
      <c r="D134" t="s">
        <v>929</v>
      </c>
      <c r="E134" t="s">
        <v>895</v>
      </c>
      <c r="F134" s="6">
        <v>44145</v>
      </c>
      <c r="G134">
        <v>72</v>
      </c>
      <c r="H134" s="6">
        <v>46336</v>
      </c>
      <c r="I134" t="s">
        <v>888</v>
      </c>
    </row>
    <row r="135" spans="1:9" x14ac:dyDescent="0.3">
      <c r="A135" t="s">
        <v>1028</v>
      </c>
      <c r="B135" t="s">
        <v>884</v>
      </c>
      <c r="C135" t="s">
        <v>885</v>
      </c>
      <c r="D135" t="s">
        <v>929</v>
      </c>
      <c r="E135" t="s">
        <v>895</v>
      </c>
      <c r="F135" s="6">
        <v>44145</v>
      </c>
      <c r="G135">
        <v>72</v>
      </c>
      <c r="H135" s="6">
        <v>46336</v>
      </c>
      <c r="I135" t="s">
        <v>888</v>
      </c>
    </row>
    <row r="136" spans="1:9" x14ac:dyDescent="0.3">
      <c r="A136" t="s">
        <v>1029</v>
      </c>
      <c r="B136" t="s">
        <v>884</v>
      </c>
      <c r="C136" t="s">
        <v>885</v>
      </c>
      <c r="D136" t="s">
        <v>929</v>
      </c>
      <c r="E136" t="s">
        <v>895</v>
      </c>
      <c r="F136" s="6">
        <v>44145</v>
      </c>
      <c r="G136">
        <v>72</v>
      </c>
      <c r="H136" s="6">
        <v>46336</v>
      </c>
      <c r="I136" t="s">
        <v>888</v>
      </c>
    </row>
    <row r="137" spans="1:9" x14ac:dyDescent="0.3">
      <c r="A137" t="s">
        <v>1030</v>
      </c>
      <c r="B137" t="s">
        <v>884</v>
      </c>
      <c r="C137" t="s">
        <v>885</v>
      </c>
      <c r="D137" t="s">
        <v>929</v>
      </c>
      <c r="E137" t="s">
        <v>895</v>
      </c>
      <c r="F137" s="6">
        <v>44145</v>
      </c>
      <c r="G137">
        <v>72</v>
      </c>
      <c r="H137" s="6">
        <v>46336</v>
      </c>
      <c r="I137" t="s">
        <v>888</v>
      </c>
    </row>
    <row r="138" spans="1:9" x14ac:dyDescent="0.3">
      <c r="A138" t="s">
        <v>1031</v>
      </c>
      <c r="B138" t="s">
        <v>884</v>
      </c>
      <c r="C138" t="s">
        <v>885</v>
      </c>
      <c r="D138" t="s">
        <v>929</v>
      </c>
      <c r="E138" t="s">
        <v>895</v>
      </c>
      <c r="F138" s="6">
        <v>44145</v>
      </c>
      <c r="G138">
        <v>72</v>
      </c>
      <c r="H138" s="6">
        <v>46336</v>
      </c>
      <c r="I138" t="s">
        <v>888</v>
      </c>
    </row>
    <row r="139" spans="1:9" x14ac:dyDescent="0.3">
      <c r="A139" t="s">
        <v>1032</v>
      </c>
      <c r="B139" t="s">
        <v>884</v>
      </c>
      <c r="C139" t="s">
        <v>885</v>
      </c>
      <c r="D139" t="s">
        <v>929</v>
      </c>
      <c r="E139" t="s">
        <v>895</v>
      </c>
      <c r="F139" s="6">
        <v>44145</v>
      </c>
      <c r="G139">
        <v>72</v>
      </c>
      <c r="H139" s="6">
        <v>46336</v>
      </c>
      <c r="I139" t="s">
        <v>888</v>
      </c>
    </row>
    <row r="140" spans="1:9" x14ac:dyDescent="0.3">
      <c r="A140" t="s">
        <v>1033</v>
      </c>
      <c r="B140" t="s">
        <v>884</v>
      </c>
      <c r="C140" t="s">
        <v>885</v>
      </c>
      <c r="D140" t="s">
        <v>929</v>
      </c>
      <c r="E140" t="s">
        <v>895</v>
      </c>
      <c r="F140" s="6">
        <v>44145</v>
      </c>
      <c r="G140">
        <v>72</v>
      </c>
      <c r="H140" s="6">
        <v>46336</v>
      </c>
      <c r="I140" t="s">
        <v>888</v>
      </c>
    </row>
    <row r="141" spans="1:9" x14ac:dyDescent="0.3">
      <c r="A141" t="s">
        <v>1034</v>
      </c>
      <c r="B141" t="s">
        <v>884</v>
      </c>
      <c r="C141" t="s">
        <v>885</v>
      </c>
      <c r="D141" t="s">
        <v>929</v>
      </c>
      <c r="E141" t="s">
        <v>895</v>
      </c>
      <c r="F141" s="6">
        <v>44145</v>
      </c>
      <c r="G141">
        <v>72</v>
      </c>
      <c r="H141" s="6">
        <v>46336</v>
      </c>
      <c r="I141" t="s">
        <v>888</v>
      </c>
    </row>
    <row r="142" spans="1:9" x14ac:dyDescent="0.3">
      <c r="A142" t="s">
        <v>1035</v>
      </c>
      <c r="B142" t="s">
        <v>884</v>
      </c>
      <c r="C142" t="s">
        <v>885</v>
      </c>
      <c r="D142" t="s">
        <v>929</v>
      </c>
      <c r="E142" t="s">
        <v>895</v>
      </c>
      <c r="F142" s="6">
        <v>44145</v>
      </c>
      <c r="G142">
        <v>72</v>
      </c>
      <c r="H142" s="6">
        <v>46336</v>
      </c>
      <c r="I142" t="s">
        <v>888</v>
      </c>
    </row>
    <row r="143" spans="1:9" x14ac:dyDescent="0.3">
      <c r="A143" t="s">
        <v>1036</v>
      </c>
      <c r="B143" t="s">
        <v>884</v>
      </c>
      <c r="C143" t="s">
        <v>885</v>
      </c>
      <c r="D143" t="s">
        <v>929</v>
      </c>
      <c r="E143" t="s">
        <v>895</v>
      </c>
      <c r="F143" s="6">
        <v>44145</v>
      </c>
      <c r="G143">
        <v>72</v>
      </c>
      <c r="H143" s="6">
        <v>46336</v>
      </c>
      <c r="I143" t="s">
        <v>888</v>
      </c>
    </row>
    <row r="144" spans="1:9" x14ac:dyDescent="0.3">
      <c r="A144" t="s">
        <v>1037</v>
      </c>
      <c r="B144" t="s">
        <v>884</v>
      </c>
      <c r="C144" t="s">
        <v>885</v>
      </c>
      <c r="D144" t="s">
        <v>929</v>
      </c>
      <c r="E144" t="s">
        <v>895</v>
      </c>
      <c r="F144" s="6">
        <v>44145</v>
      </c>
      <c r="G144">
        <v>72</v>
      </c>
      <c r="H144" s="6">
        <v>46336</v>
      </c>
      <c r="I144" t="s">
        <v>888</v>
      </c>
    </row>
    <row r="145" spans="1:9" x14ac:dyDescent="0.3">
      <c r="A145" t="s">
        <v>1038</v>
      </c>
      <c r="B145" t="s">
        <v>884</v>
      </c>
      <c r="C145" t="s">
        <v>885</v>
      </c>
      <c r="D145" t="s">
        <v>929</v>
      </c>
      <c r="E145" t="s">
        <v>895</v>
      </c>
      <c r="F145" s="6">
        <v>44145</v>
      </c>
      <c r="G145">
        <v>72</v>
      </c>
      <c r="H145" s="6">
        <v>46336</v>
      </c>
      <c r="I145" t="s">
        <v>888</v>
      </c>
    </row>
    <row r="146" spans="1:9" x14ac:dyDescent="0.3">
      <c r="A146" t="s">
        <v>1039</v>
      </c>
      <c r="B146" t="s">
        <v>884</v>
      </c>
      <c r="C146" t="s">
        <v>885</v>
      </c>
      <c r="D146" t="s">
        <v>929</v>
      </c>
      <c r="E146" t="s">
        <v>895</v>
      </c>
      <c r="F146" s="6">
        <v>44145</v>
      </c>
      <c r="G146">
        <v>72</v>
      </c>
      <c r="H146" s="6">
        <v>46336</v>
      </c>
      <c r="I146" t="s">
        <v>888</v>
      </c>
    </row>
    <row r="147" spans="1:9" x14ac:dyDescent="0.3">
      <c r="A147" t="s">
        <v>1040</v>
      </c>
      <c r="B147" t="s">
        <v>884</v>
      </c>
      <c r="C147" t="s">
        <v>885</v>
      </c>
      <c r="D147" t="s">
        <v>929</v>
      </c>
      <c r="E147" t="s">
        <v>895</v>
      </c>
      <c r="F147" s="6">
        <v>44145</v>
      </c>
      <c r="G147">
        <v>72</v>
      </c>
      <c r="H147" s="6">
        <v>46336</v>
      </c>
      <c r="I147" t="s">
        <v>888</v>
      </c>
    </row>
    <row r="148" spans="1:9" x14ac:dyDescent="0.3">
      <c r="A148" t="s">
        <v>1041</v>
      </c>
      <c r="B148" t="s">
        <v>884</v>
      </c>
      <c r="C148" t="s">
        <v>885</v>
      </c>
      <c r="D148" t="s">
        <v>929</v>
      </c>
      <c r="E148" t="s">
        <v>895</v>
      </c>
      <c r="F148" s="6">
        <v>44145</v>
      </c>
      <c r="G148">
        <v>72</v>
      </c>
      <c r="H148" s="6">
        <v>46336</v>
      </c>
      <c r="I148" t="s">
        <v>888</v>
      </c>
    </row>
    <row r="149" spans="1:9" x14ac:dyDescent="0.3">
      <c r="A149" t="s">
        <v>1042</v>
      </c>
      <c r="B149" t="s">
        <v>884</v>
      </c>
      <c r="C149" t="s">
        <v>885</v>
      </c>
      <c r="D149" t="s">
        <v>929</v>
      </c>
      <c r="E149" t="s">
        <v>895</v>
      </c>
      <c r="F149" s="6">
        <v>44145</v>
      </c>
      <c r="G149">
        <v>72</v>
      </c>
      <c r="H149" s="6">
        <v>46336</v>
      </c>
      <c r="I149" t="s">
        <v>888</v>
      </c>
    </row>
    <row r="150" spans="1:9" x14ac:dyDescent="0.3">
      <c r="A150" t="s">
        <v>1043</v>
      </c>
      <c r="B150" t="s">
        <v>884</v>
      </c>
      <c r="C150" t="s">
        <v>885</v>
      </c>
      <c r="D150" t="s">
        <v>929</v>
      </c>
      <c r="E150" t="s">
        <v>895</v>
      </c>
      <c r="F150" s="6">
        <v>44145</v>
      </c>
      <c r="G150">
        <v>72</v>
      </c>
      <c r="H150" s="6">
        <v>46336</v>
      </c>
      <c r="I150" t="s">
        <v>888</v>
      </c>
    </row>
    <row r="151" spans="1:9" x14ac:dyDescent="0.3">
      <c r="A151" t="s">
        <v>1044</v>
      </c>
      <c r="B151" t="s">
        <v>884</v>
      </c>
      <c r="C151" t="s">
        <v>885</v>
      </c>
      <c r="D151" t="s">
        <v>929</v>
      </c>
      <c r="E151" t="s">
        <v>895</v>
      </c>
      <c r="F151" s="6">
        <v>44145</v>
      </c>
      <c r="G151">
        <v>72</v>
      </c>
      <c r="H151" s="6">
        <v>46336</v>
      </c>
      <c r="I151" t="s">
        <v>888</v>
      </c>
    </row>
    <row r="152" spans="1:9" x14ac:dyDescent="0.3">
      <c r="A152" t="s">
        <v>1045</v>
      </c>
      <c r="B152" t="s">
        <v>884</v>
      </c>
      <c r="C152" t="s">
        <v>885</v>
      </c>
      <c r="D152" t="s">
        <v>929</v>
      </c>
      <c r="E152" t="s">
        <v>895</v>
      </c>
      <c r="F152" s="6">
        <v>44145</v>
      </c>
      <c r="G152">
        <v>72</v>
      </c>
      <c r="H152" s="6">
        <v>46336</v>
      </c>
      <c r="I152" t="s">
        <v>888</v>
      </c>
    </row>
    <row r="153" spans="1:9" x14ac:dyDescent="0.3">
      <c r="A153" t="s">
        <v>1046</v>
      </c>
      <c r="B153" t="s">
        <v>884</v>
      </c>
      <c r="C153" t="s">
        <v>885</v>
      </c>
      <c r="D153" t="s">
        <v>929</v>
      </c>
      <c r="E153" t="s">
        <v>895</v>
      </c>
      <c r="F153" s="6">
        <v>44329</v>
      </c>
      <c r="G153">
        <v>66</v>
      </c>
      <c r="H153" s="6">
        <v>46339</v>
      </c>
      <c r="I153" t="s">
        <v>888</v>
      </c>
    </row>
    <row r="154" spans="1:9" x14ac:dyDescent="0.3">
      <c r="A154" t="s">
        <v>1047</v>
      </c>
      <c r="B154" t="s">
        <v>884</v>
      </c>
      <c r="C154" t="s">
        <v>885</v>
      </c>
      <c r="D154" t="s">
        <v>886</v>
      </c>
      <c r="E154" t="s">
        <v>895</v>
      </c>
      <c r="F154" s="6">
        <v>44155</v>
      </c>
      <c r="G154">
        <v>72</v>
      </c>
      <c r="H154" s="6">
        <v>46346</v>
      </c>
      <c r="I154" t="s">
        <v>888</v>
      </c>
    </row>
    <row r="155" spans="1:9" x14ac:dyDescent="0.3">
      <c r="A155" t="s">
        <v>1048</v>
      </c>
      <c r="B155" t="s">
        <v>884</v>
      </c>
      <c r="C155" t="s">
        <v>885</v>
      </c>
      <c r="D155" t="s">
        <v>937</v>
      </c>
      <c r="E155" t="s">
        <v>895</v>
      </c>
      <c r="F155" s="6">
        <v>44155</v>
      </c>
      <c r="G155">
        <v>72</v>
      </c>
      <c r="H155" s="6">
        <v>46346</v>
      </c>
      <c r="I155" t="s">
        <v>888</v>
      </c>
    </row>
    <row r="156" spans="1:9" x14ac:dyDescent="0.3">
      <c r="A156" t="s">
        <v>1049</v>
      </c>
      <c r="B156" t="s">
        <v>884</v>
      </c>
      <c r="C156" t="s">
        <v>885</v>
      </c>
      <c r="D156" t="s">
        <v>937</v>
      </c>
      <c r="E156" t="s">
        <v>895</v>
      </c>
      <c r="F156" s="6">
        <v>44155</v>
      </c>
      <c r="G156">
        <v>72</v>
      </c>
      <c r="H156" s="6">
        <v>46346</v>
      </c>
      <c r="I156" t="s">
        <v>888</v>
      </c>
    </row>
    <row r="157" spans="1:9" x14ac:dyDescent="0.3">
      <c r="A157" t="s">
        <v>1050</v>
      </c>
      <c r="B157" t="s">
        <v>884</v>
      </c>
      <c r="C157" t="s">
        <v>885</v>
      </c>
      <c r="D157" t="s">
        <v>886</v>
      </c>
      <c r="E157" t="s">
        <v>895</v>
      </c>
      <c r="F157" s="6">
        <v>44155</v>
      </c>
      <c r="G157">
        <v>72</v>
      </c>
      <c r="H157" s="6">
        <v>46346</v>
      </c>
      <c r="I157" t="s">
        <v>888</v>
      </c>
    </row>
    <row r="158" spans="1:9" x14ac:dyDescent="0.3">
      <c r="A158" t="s">
        <v>1051</v>
      </c>
      <c r="B158" t="s">
        <v>884</v>
      </c>
      <c r="C158" t="s">
        <v>885</v>
      </c>
      <c r="D158" t="s">
        <v>937</v>
      </c>
      <c r="E158" t="s">
        <v>895</v>
      </c>
      <c r="F158" s="6">
        <v>44155</v>
      </c>
      <c r="G158">
        <v>72</v>
      </c>
      <c r="H158" s="6">
        <v>46346</v>
      </c>
      <c r="I158" t="s">
        <v>888</v>
      </c>
    </row>
    <row r="159" spans="1:9" x14ac:dyDescent="0.3">
      <c r="A159" t="s">
        <v>1052</v>
      </c>
      <c r="B159" t="s">
        <v>884</v>
      </c>
      <c r="C159" t="s">
        <v>885</v>
      </c>
      <c r="D159" t="s">
        <v>937</v>
      </c>
      <c r="E159" t="s">
        <v>895</v>
      </c>
      <c r="F159" s="6">
        <v>44155</v>
      </c>
      <c r="G159">
        <v>72</v>
      </c>
      <c r="H159" s="6">
        <v>46346</v>
      </c>
      <c r="I159" t="s">
        <v>888</v>
      </c>
    </row>
    <row r="160" spans="1:9" x14ac:dyDescent="0.3">
      <c r="A160" t="s">
        <v>1053</v>
      </c>
      <c r="B160" t="s">
        <v>884</v>
      </c>
      <c r="C160" t="s">
        <v>885</v>
      </c>
      <c r="D160" t="s">
        <v>893</v>
      </c>
      <c r="E160" t="s">
        <v>895</v>
      </c>
      <c r="F160" s="6">
        <v>44155</v>
      </c>
      <c r="G160">
        <v>72</v>
      </c>
      <c r="H160" s="6">
        <v>46346</v>
      </c>
      <c r="I160" t="s">
        <v>888</v>
      </c>
    </row>
    <row r="161" spans="1:9" x14ac:dyDescent="0.3">
      <c r="A161" t="s">
        <v>1054</v>
      </c>
      <c r="B161" t="s">
        <v>884</v>
      </c>
      <c r="C161" t="s">
        <v>885</v>
      </c>
      <c r="D161" t="s">
        <v>893</v>
      </c>
      <c r="E161" t="s">
        <v>895</v>
      </c>
      <c r="F161" s="6">
        <v>44155</v>
      </c>
      <c r="G161">
        <v>72</v>
      </c>
      <c r="H161" s="6">
        <v>46346</v>
      </c>
      <c r="I161" t="s">
        <v>888</v>
      </c>
    </row>
    <row r="162" spans="1:9" x14ac:dyDescent="0.3">
      <c r="A162" t="s">
        <v>1055</v>
      </c>
      <c r="B162" t="s">
        <v>884</v>
      </c>
      <c r="C162" t="s">
        <v>885</v>
      </c>
      <c r="D162" t="s">
        <v>893</v>
      </c>
      <c r="E162" t="s">
        <v>895</v>
      </c>
      <c r="F162" s="6">
        <v>44155</v>
      </c>
      <c r="G162">
        <v>72</v>
      </c>
      <c r="H162" s="6">
        <v>46346</v>
      </c>
      <c r="I162" t="s">
        <v>888</v>
      </c>
    </row>
    <row r="163" spans="1:9" x14ac:dyDescent="0.3">
      <c r="A163" t="s">
        <v>1056</v>
      </c>
      <c r="B163" t="s">
        <v>884</v>
      </c>
      <c r="C163" t="s">
        <v>885</v>
      </c>
      <c r="D163" t="s">
        <v>886</v>
      </c>
      <c r="E163" t="s">
        <v>895</v>
      </c>
      <c r="F163" s="6">
        <v>44155</v>
      </c>
      <c r="G163">
        <v>72</v>
      </c>
      <c r="H163" s="6">
        <v>46346</v>
      </c>
      <c r="I163" t="s">
        <v>888</v>
      </c>
    </row>
    <row r="164" spans="1:9" x14ac:dyDescent="0.3">
      <c r="A164" t="s">
        <v>1057</v>
      </c>
      <c r="B164" t="s">
        <v>884</v>
      </c>
      <c r="C164" t="s">
        <v>885</v>
      </c>
      <c r="D164" t="s">
        <v>886</v>
      </c>
      <c r="E164" t="s">
        <v>895</v>
      </c>
      <c r="F164" s="6">
        <v>44155</v>
      </c>
      <c r="G164">
        <v>72</v>
      </c>
      <c r="H164" s="6">
        <v>46346</v>
      </c>
      <c r="I164" t="s">
        <v>888</v>
      </c>
    </row>
    <row r="165" spans="1:9" x14ac:dyDescent="0.3">
      <c r="A165" t="s">
        <v>1058</v>
      </c>
      <c r="B165" t="s">
        <v>884</v>
      </c>
      <c r="C165" t="s">
        <v>885</v>
      </c>
      <c r="D165" t="s">
        <v>886</v>
      </c>
      <c r="E165" t="s">
        <v>895</v>
      </c>
      <c r="F165" s="6">
        <v>44155</v>
      </c>
      <c r="G165">
        <v>72</v>
      </c>
      <c r="H165" s="6">
        <v>46346</v>
      </c>
      <c r="I165" t="s">
        <v>888</v>
      </c>
    </row>
    <row r="166" spans="1:9" x14ac:dyDescent="0.3">
      <c r="A166" t="s">
        <v>1059</v>
      </c>
      <c r="B166" t="s">
        <v>884</v>
      </c>
      <c r="C166" t="s">
        <v>885</v>
      </c>
      <c r="D166" t="s">
        <v>886</v>
      </c>
      <c r="E166" t="s">
        <v>895</v>
      </c>
      <c r="F166" s="6">
        <v>44155</v>
      </c>
      <c r="G166">
        <v>72</v>
      </c>
      <c r="H166" s="6">
        <v>46346</v>
      </c>
      <c r="I166" t="s">
        <v>888</v>
      </c>
    </row>
    <row r="167" spans="1:9" x14ac:dyDescent="0.3">
      <c r="A167" t="s">
        <v>1060</v>
      </c>
      <c r="B167" t="s">
        <v>884</v>
      </c>
      <c r="C167" t="s">
        <v>885</v>
      </c>
      <c r="D167" t="s">
        <v>886</v>
      </c>
      <c r="E167" t="s">
        <v>895</v>
      </c>
      <c r="F167" s="6">
        <v>44155</v>
      </c>
      <c r="G167">
        <v>72</v>
      </c>
      <c r="H167" s="6">
        <v>46346</v>
      </c>
      <c r="I167" t="s">
        <v>888</v>
      </c>
    </row>
    <row r="168" spans="1:9" x14ac:dyDescent="0.3">
      <c r="A168" t="s">
        <v>1061</v>
      </c>
      <c r="B168" t="s">
        <v>884</v>
      </c>
      <c r="C168" t="s">
        <v>885</v>
      </c>
      <c r="D168" t="s">
        <v>886</v>
      </c>
      <c r="E168" t="s">
        <v>895</v>
      </c>
      <c r="F168" s="6">
        <v>44155</v>
      </c>
      <c r="G168">
        <v>72</v>
      </c>
      <c r="H168" s="6">
        <v>46346</v>
      </c>
      <c r="I168" t="s">
        <v>888</v>
      </c>
    </row>
    <row r="169" spans="1:9" x14ac:dyDescent="0.3">
      <c r="A169" t="s">
        <v>1062</v>
      </c>
      <c r="B169" t="s">
        <v>884</v>
      </c>
      <c r="C169" t="s">
        <v>885</v>
      </c>
      <c r="D169" t="s">
        <v>886</v>
      </c>
      <c r="E169" t="s">
        <v>895</v>
      </c>
      <c r="F169" s="6">
        <v>44155</v>
      </c>
      <c r="G169">
        <v>72</v>
      </c>
      <c r="H169" s="6">
        <v>46346</v>
      </c>
      <c r="I169" t="s">
        <v>888</v>
      </c>
    </row>
    <row r="170" spans="1:9" x14ac:dyDescent="0.3">
      <c r="A170" t="s">
        <v>1063</v>
      </c>
      <c r="B170" t="s">
        <v>884</v>
      </c>
      <c r="C170" t="s">
        <v>885</v>
      </c>
      <c r="D170" t="s">
        <v>886</v>
      </c>
      <c r="E170" t="s">
        <v>895</v>
      </c>
      <c r="F170" s="6">
        <v>44155</v>
      </c>
      <c r="G170">
        <v>72</v>
      </c>
      <c r="H170" s="6">
        <v>46346</v>
      </c>
      <c r="I170" t="s">
        <v>888</v>
      </c>
    </row>
    <row r="171" spans="1:9" x14ac:dyDescent="0.3">
      <c r="A171" t="s">
        <v>1064</v>
      </c>
      <c r="B171" t="s">
        <v>884</v>
      </c>
      <c r="C171" t="s">
        <v>885</v>
      </c>
      <c r="D171" t="s">
        <v>886</v>
      </c>
      <c r="E171" t="s">
        <v>895</v>
      </c>
      <c r="F171" s="6">
        <v>44155</v>
      </c>
      <c r="G171">
        <v>72</v>
      </c>
      <c r="H171" s="6">
        <v>46346</v>
      </c>
      <c r="I171" t="s">
        <v>888</v>
      </c>
    </row>
    <row r="172" spans="1:9" x14ac:dyDescent="0.3">
      <c r="A172" t="s">
        <v>1065</v>
      </c>
      <c r="B172" t="s">
        <v>884</v>
      </c>
      <c r="C172" t="s">
        <v>885</v>
      </c>
      <c r="D172" t="s">
        <v>886</v>
      </c>
      <c r="E172" t="s">
        <v>895</v>
      </c>
      <c r="F172" s="6">
        <v>44155</v>
      </c>
      <c r="G172">
        <v>72</v>
      </c>
      <c r="H172" s="6">
        <v>46346</v>
      </c>
      <c r="I172" t="s">
        <v>888</v>
      </c>
    </row>
    <row r="173" spans="1:9" x14ac:dyDescent="0.3">
      <c r="A173" t="s">
        <v>1066</v>
      </c>
      <c r="B173" t="s">
        <v>884</v>
      </c>
      <c r="C173" t="s">
        <v>885</v>
      </c>
      <c r="D173" t="s">
        <v>886</v>
      </c>
      <c r="E173" t="s">
        <v>895</v>
      </c>
      <c r="F173" s="6">
        <v>44155</v>
      </c>
      <c r="G173">
        <v>72</v>
      </c>
      <c r="H173" s="6">
        <v>46346</v>
      </c>
      <c r="I173" t="s">
        <v>888</v>
      </c>
    </row>
    <row r="174" spans="1:9" x14ac:dyDescent="0.3">
      <c r="A174" t="s">
        <v>1067</v>
      </c>
      <c r="B174" t="s">
        <v>884</v>
      </c>
      <c r="C174" t="s">
        <v>885</v>
      </c>
      <c r="D174" t="s">
        <v>909</v>
      </c>
      <c r="E174" t="s">
        <v>895</v>
      </c>
      <c r="F174" s="6">
        <v>44155</v>
      </c>
      <c r="G174">
        <v>72</v>
      </c>
      <c r="H174" s="6">
        <v>46346</v>
      </c>
      <c r="I174" t="s">
        <v>888</v>
      </c>
    </row>
    <row r="175" spans="1:9" x14ac:dyDescent="0.3">
      <c r="A175" t="s">
        <v>1068</v>
      </c>
      <c r="B175" t="s">
        <v>884</v>
      </c>
      <c r="C175" t="s">
        <v>885</v>
      </c>
      <c r="D175" t="s">
        <v>893</v>
      </c>
      <c r="E175" t="s">
        <v>895</v>
      </c>
      <c r="F175" s="6">
        <v>44155</v>
      </c>
      <c r="G175">
        <v>72</v>
      </c>
      <c r="H175" s="6">
        <v>46346</v>
      </c>
      <c r="I175" t="s">
        <v>888</v>
      </c>
    </row>
    <row r="176" spans="1:9" x14ac:dyDescent="0.3">
      <c r="A176" t="s">
        <v>1069</v>
      </c>
      <c r="B176" t="s">
        <v>884</v>
      </c>
      <c r="C176" t="s">
        <v>885</v>
      </c>
      <c r="D176" t="s">
        <v>893</v>
      </c>
      <c r="E176" t="s">
        <v>895</v>
      </c>
      <c r="F176" s="6">
        <v>44155</v>
      </c>
      <c r="G176">
        <v>72</v>
      </c>
      <c r="H176" s="6">
        <v>46346</v>
      </c>
      <c r="I176" t="s">
        <v>888</v>
      </c>
    </row>
    <row r="177" spans="1:9" x14ac:dyDescent="0.3">
      <c r="A177" t="s">
        <v>1070</v>
      </c>
      <c r="B177" t="s">
        <v>884</v>
      </c>
      <c r="C177" t="s">
        <v>885</v>
      </c>
      <c r="D177" t="s">
        <v>893</v>
      </c>
      <c r="E177" t="s">
        <v>895</v>
      </c>
      <c r="F177" s="6">
        <v>44155</v>
      </c>
      <c r="G177">
        <v>72</v>
      </c>
      <c r="H177" s="6">
        <v>46346</v>
      </c>
      <c r="I177" t="s">
        <v>888</v>
      </c>
    </row>
    <row r="178" spans="1:9" x14ac:dyDescent="0.3">
      <c r="A178" t="s">
        <v>1071</v>
      </c>
      <c r="B178" t="s">
        <v>884</v>
      </c>
      <c r="C178" t="s">
        <v>885</v>
      </c>
      <c r="D178" t="s">
        <v>893</v>
      </c>
      <c r="E178" t="s">
        <v>895</v>
      </c>
      <c r="F178" s="6">
        <v>44155</v>
      </c>
      <c r="G178">
        <v>72</v>
      </c>
      <c r="H178" s="6">
        <v>46346</v>
      </c>
      <c r="I178" t="s">
        <v>888</v>
      </c>
    </row>
    <row r="179" spans="1:9" x14ac:dyDescent="0.3">
      <c r="A179" t="s">
        <v>1072</v>
      </c>
      <c r="B179" t="s">
        <v>884</v>
      </c>
      <c r="C179" t="s">
        <v>885</v>
      </c>
      <c r="D179" t="s">
        <v>893</v>
      </c>
      <c r="E179" t="s">
        <v>895</v>
      </c>
      <c r="F179" s="6">
        <v>44155</v>
      </c>
      <c r="G179">
        <v>72</v>
      </c>
      <c r="H179" s="6">
        <v>46346</v>
      </c>
      <c r="I179" t="s">
        <v>888</v>
      </c>
    </row>
    <row r="180" spans="1:9" x14ac:dyDescent="0.3">
      <c r="A180" t="s">
        <v>1073</v>
      </c>
      <c r="B180" t="s">
        <v>884</v>
      </c>
      <c r="C180" t="s">
        <v>885</v>
      </c>
      <c r="D180" t="s">
        <v>937</v>
      </c>
      <c r="E180" t="s">
        <v>895</v>
      </c>
      <c r="F180" s="6">
        <v>44155</v>
      </c>
      <c r="G180">
        <v>72</v>
      </c>
      <c r="H180" s="6">
        <v>46346</v>
      </c>
      <c r="I180" t="s">
        <v>888</v>
      </c>
    </row>
    <row r="181" spans="1:9" x14ac:dyDescent="0.3">
      <c r="A181" t="s">
        <v>1074</v>
      </c>
      <c r="B181" t="s">
        <v>884</v>
      </c>
      <c r="C181" t="s">
        <v>885</v>
      </c>
      <c r="D181" t="s">
        <v>937</v>
      </c>
      <c r="E181" t="s">
        <v>895</v>
      </c>
      <c r="F181" s="6">
        <v>44155</v>
      </c>
      <c r="G181">
        <v>72</v>
      </c>
      <c r="H181" s="6">
        <v>46346</v>
      </c>
      <c r="I181" t="s">
        <v>888</v>
      </c>
    </row>
    <row r="182" spans="1:9" x14ac:dyDescent="0.3">
      <c r="A182" t="s">
        <v>1075</v>
      </c>
      <c r="B182" t="s">
        <v>884</v>
      </c>
      <c r="C182" t="s">
        <v>885</v>
      </c>
      <c r="D182" t="s">
        <v>886</v>
      </c>
      <c r="E182" t="s">
        <v>895</v>
      </c>
      <c r="F182" s="6">
        <v>44155</v>
      </c>
      <c r="G182">
        <v>72</v>
      </c>
      <c r="H182" s="6">
        <v>46346</v>
      </c>
      <c r="I182" t="s">
        <v>888</v>
      </c>
    </row>
    <row r="183" spans="1:9" x14ac:dyDescent="0.3">
      <c r="A183" t="s">
        <v>1076</v>
      </c>
      <c r="B183" t="s">
        <v>884</v>
      </c>
      <c r="C183" t="s">
        <v>885</v>
      </c>
      <c r="D183" t="s">
        <v>886</v>
      </c>
      <c r="E183" t="s">
        <v>895</v>
      </c>
      <c r="F183" s="6">
        <v>44155</v>
      </c>
      <c r="G183">
        <v>72</v>
      </c>
      <c r="H183" s="6">
        <v>46346</v>
      </c>
      <c r="I183" t="s">
        <v>888</v>
      </c>
    </row>
    <row r="184" spans="1:9" x14ac:dyDescent="0.3">
      <c r="A184" t="s">
        <v>1077</v>
      </c>
      <c r="B184" t="s">
        <v>884</v>
      </c>
      <c r="C184" t="s">
        <v>885</v>
      </c>
      <c r="D184" t="s">
        <v>886</v>
      </c>
      <c r="E184" t="s">
        <v>895</v>
      </c>
      <c r="F184" s="6">
        <v>44155</v>
      </c>
      <c r="G184">
        <v>72</v>
      </c>
      <c r="H184" s="6">
        <v>46346</v>
      </c>
      <c r="I184" t="s">
        <v>888</v>
      </c>
    </row>
    <row r="185" spans="1:9" x14ac:dyDescent="0.3">
      <c r="A185" t="s">
        <v>1078</v>
      </c>
      <c r="B185" t="s">
        <v>884</v>
      </c>
      <c r="C185" t="s">
        <v>885</v>
      </c>
      <c r="D185" t="s">
        <v>886</v>
      </c>
      <c r="E185" t="s">
        <v>895</v>
      </c>
      <c r="F185" s="6">
        <v>44155</v>
      </c>
      <c r="G185">
        <v>72</v>
      </c>
      <c r="H185" s="6">
        <v>46346</v>
      </c>
      <c r="I185" t="s">
        <v>888</v>
      </c>
    </row>
    <row r="186" spans="1:9" x14ac:dyDescent="0.3">
      <c r="A186" t="s">
        <v>1079</v>
      </c>
      <c r="B186" t="s">
        <v>884</v>
      </c>
      <c r="C186" t="s">
        <v>885</v>
      </c>
      <c r="D186" t="s">
        <v>886</v>
      </c>
      <c r="E186" t="s">
        <v>895</v>
      </c>
      <c r="F186" s="6">
        <v>44155</v>
      </c>
      <c r="G186">
        <v>72</v>
      </c>
      <c r="H186" s="6">
        <v>46346</v>
      </c>
      <c r="I186" t="s">
        <v>888</v>
      </c>
    </row>
    <row r="187" spans="1:9" x14ac:dyDescent="0.3">
      <c r="A187" t="s">
        <v>1080</v>
      </c>
      <c r="B187" t="s">
        <v>884</v>
      </c>
      <c r="C187" t="s">
        <v>885</v>
      </c>
      <c r="D187" t="s">
        <v>886</v>
      </c>
      <c r="E187" t="s">
        <v>895</v>
      </c>
      <c r="F187" s="6">
        <v>44155</v>
      </c>
      <c r="G187">
        <v>72</v>
      </c>
      <c r="H187" s="6">
        <v>46346</v>
      </c>
      <c r="I187" t="s">
        <v>888</v>
      </c>
    </row>
    <row r="188" spans="1:9" x14ac:dyDescent="0.3">
      <c r="A188" t="s">
        <v>1081</v>
      </c>
      <c r="B188" t="s">
        <v>884</v>
      </c>
      <c r="C188" t="s">
        <v>885</v>
      </c>
      <c r="D188" t="s">
        <v>886</v>
      </c>
      <c r="E188" t="s">
        <v>895</v>
      </c>
      <c r="F188" s="6">
        <v>44155</v>
      </c>
      <c r="G188">
        <v>72</v>
      </c>
      <c r="H188" s="6">
        <v>46346</v>
      </c>
      <c r="I188" t="s">
        <v>888</v>
      </c>
    </row>
    <row r="189" spans="1:9" x14ac:dyDescent="0.3">
      <c r="A189" t="s">
        <v>1082</v>
      </c>
      <c r="B189" t="s">
        <v>884</v>
      </c>
      <c r="C189" t="s">
        <v>885</v>
      </c>
      <c r="D189" t="s">
        <v>886</v>
      </c>
      <c r="E189" t="s">
        <v>895</v>
      </c>
      <c r="F189" s="6">
        <v>44155</v>
      </c>
      <c r="G189">
        <v>72</v>
      </c>
      <c r="H189" s="6">
        <v>46346</v>
      </c>
      <c r="I189" t="s">
        <v>888</v>
      </c>
    </row>
    <row r="190" spans="1:9" x14ac:dyDescent="0.3">
      <c r="A190" t="s">
        <v>1083</v>
      </c>
      <c r="B190" t="s">
        <v>884</v>
      </c>
      <c r="C190" t="s">
        <v>885</v>
      </c>
      <c r="D190" t="s">
        <v>886</v>
      </c>
      <c r="E190" t="s">
        <v>895</v>
      </c>
      <c r="F190" s="6">
        <v>44155</v>
      </c>
      <c r="G190">
        <v>72</v>
      </c>
      <c r="H190" s="6">
        <v>46346</v>
      </c>
      <c r="I190" t="s">
        <v>888</v>
      </c>
    </row>
    <row r="191" spans="1:9" x14ac:dyDescent="0.3">
      <c r="A191" t="s">
        <v>1084</v>
      </c>
      <c r="B191" t="s">
        <v>884</v>
      </c>
      <c r="C191" t="s">
        <v>885</v>
      </c>
      <c r="D191" t="s">
        <v>886</v>
      </c>
      <c r="E191" t="s">
        <v>895</v>
      </c>
      <c r="F191" s="6">
        <v>44155</v>
      </c>
      <c r="G191">
        <v>72</v>
      </c>
      <c r="H191" s="6">
        <v>46346</v>
      </c>
      <c r="I191" t="s">
        <v>888</v>
      </c>
    </row>
    <row r="192" spans="1:9" x14ac:dyDescent="0.3">
      <c r="A192" t="s">
        <v>1085</v>
      </c>
      <c r="B192" t="s">
        <v>884</v>
      </c>
      <c r="C192" t="s">
        <v>885</v>
      </c>
      <c r="D192" t="s">
        <v>886</v>
      </c>
      <c r="E192" t="s">
        <v>895</v>
      </c>
      <c r="F192" s="6">
        <v>44155</v>
      </c>
      <c r="G192">
        <v>72</v>
      </c>
      <c r="H192" s="6">
        <v>46346</v>
      </c>
      <c r="I192" t="s">
        <v>888</v>
      </c>
    </row>
    <row r="193" spans="1:9" x14ac:dyDescent="0.3">
      <c r="A193" t="s">
        <v>1086</v>
      </c>
      <c r="B193" t="s">
        <v>884</v>
      </c>
      <c r="C193" t="s">
        <v>885</v>
      </c>
      <c r="D193" t="s">
        <v>886</v>
      </c>
      <c r="E193" t="s">
        <v>895</v>
      </c>
      <c r="F193" s="6">
        <v>44155</v>
      </c>
      <c r="G193">
        <v>72</v>
      </c>
      <c r="H193" s="6">
        <v>46346</v>
      </c>
      <c r="I193" t="s">
        <v>888</v>
      </c>
    </row>
    <row r="194" spans="1:9" x14ac:dyDescent="0.3">
      <c r="A194" t="s">
        <v>1087</v>
      </c>
      <c r="B194" t="s">
        <v>884</v>
      </c>
      <c r="C194" t="s">
        <v>885</v>
      </c>
      <c r="D194" t="s">
        <v>886</v>
      </c>
      <c r="E194" t="s">
        <v>895</v>
      </c>
      <c r="F194" s="6">
        <v>44155</v>
      </c>
      <c r="G194">
        <v>72</v>
      </c>
      <c r="H194" s="6">
        <v>46346</v>
      </c>
      <c r="I194" t="s">
        <v>888</v>
      </c>
    </row>
    <row r="195" spans="1:9" x14ac:dyDescent="0.3">
      <c r="A195" t="s">
        <v>1088</v>
      </c>
      <c r="B195" t="s">
        <v>884</v>
      </c>
      <c r="C195" t="s">
        <v>885</v>
      </c>
      <c r="D195" t="s">
        <v>893</v>
      </c>
      <c r="E195" t="s">
        <v>895</v>
      </c>
      <c r="F195" s="6">
        <v>44155</v>
      </c>
      <c r="G195">
        <v>72</v>
      </c>
      <c r="H195" s="6">
        <v>46346</v>
      </c>
      <c r="I195" t="s">
        <v>888</v>
      </c>
    </row>
    <row r="196" spans="1:9" x14ac:dyDescent="0.3">
      <c r="A196" t="s">
        <v>1089</v>
      </c>
      <c r="B196" t="s">
        <v>884</v>
      </c>
      <c r="C196" t="s">
        <v>885</v>
      </c>
      <c r="D196" t="s">
        <v>893</v>
      </c>
      <c r="E196" t="s">
        <v>895</v>
      </c>
      <c r="F196" s="6">
        <v>44155</v>
      </c>
      <c r="G196">
        <v>72</v>
      </c>
      <c r="H196" s="6">
        <v>46346</v>
      </c>
      <c r="I196" t="s">
        <v>888</v>
      </c>
    </row>
    <row r="197" spans="1:9" x14ac:dyDescent="0.3">
      <c r="A197" t="s">
        <v>1090</v>
      </c>
      <c r="B197" t="s">
        <v>884</v>
      </c>
      <c r="C197" t="s">
        <v>885</v>
      </c>
      <c r="D197" t="s">
        <v>893</v>
      </c>
      <c r="E197" t="s">
        <v>895</v>
      </c>
      <c r="F197" s="6">
        <v>44155</v>
      </c>
      <c r="G197">
        <v>72</v>
      </c>
      <c r="H197" s="6">
        <v>46346</v>
      </c>
      <c r="I197" t="s">
        <v>888</v>
      </c>
    </row>
    <row r="198" spans="1:9" x14ac:dyDescent="0.3">
      <c r="A198" t="s">
        <v>1091</v>
      </c>
      <c r="B198" t="s">
        <v>884</v>
      </c>
      <c r="C198" t="s">
        <v>885</v>
      </c>
      <c r="D198" t="s">
        <v>893</v>
      </c>
      <c r="E198" t="s">
        <v>895</v>
      </c>
      <c r="F198" s="6">
        <v>44155</v>
      </c>
      <c r="G198">
        <v>72</v>
      </c>
      <c r="H198" s="6">
        <v>46346</v>
      </c>
      <c r="I198" t="s">
        <v>888</v>
      </c>
    </row>
    <row r="199" spans="1:9" x14ac:dyDescent="0.3">
      <c r="A199" t="s">
        <v>1092</v>
      </c>
      <c r="B199" t="s">
        <v>884</v>
      </c>
      <c r="C199" t="s">
        <v>885</v>
      </c>
      <c r="D199" t="s">
        <v>893</v>
      </c>
      <c r="E199" t="s">
        <v>895</v>
      </c>
      <c r="F199" s="6">
        <v>44155</v>
      </c>
      <c r="G199">
        <v>72</v>
      </c>
      <c r="H199" s="6">
        <v>46346</v>
      </c>
      <c r="I199" t="s">
        <v>888</v>
      </c>
    </row>
    <row r="200" spans="1:9" x14ac:dyDescent="0.3">
      <c r="A200" t="s">
        <v>1093</v>
      </c>
      <c r="B200" t="s">
        <v>884</v>
      </c>
      <c r="C200" t="s">
        <v>885</v>
      </c>
      <c r="D200" t="s">
        <v>937</v>
      </c>
      <c r="E200" t="s">
        <v>895</v>
      </c>
      <c r="F200" s="6">
        <v>44155</v>
      </c>
      <c r="G200">
        <v>72</v>
      </c>
      <c r="H200" s="6">
        <v>46346</v>
      </c>
      <c r="I200" t="s">
        <v>888</v>
      </c>
    </row>
    <row r="201" spans="1:9" x14ac:dyDescent="0.3">
      <c r="A201" t="s">
        <v>1094</v>
      </c>
      <c r="B201" t="s">
        <v>884</v>
      </c>
      <c r="C201" t="s">
        <v>885</v>
      </c>
      <c r="D201" t="s">
        <v>937</v>
      </c>
      <c r="E201" t="s">
        <v>895</v>
      </c>
      <c r="F201" s="6">
        <v>44155</v>
      </c>
      <c r="G201">
        <v>72</v>
      </c>
      <c r="H201" s="6">
        <v>46346</v>
      </c>
      <c r="I201" t="s">
        <v>888</v>
      </c>
    </row>
    <row r="202" spans="1:9" x14ac:dyDescent="0.3">
      <c r="A202" t="s">
        <v>1095</v>
      </c>
      <c r="B202" t="s">
        <v>884</v>
      </c>
      <c r="C202" t="s">
        <v>885</v>
      </c>
      <c r="D202" t="s">
        <v>937</v>
      </c>
      <c r="E202" t="s">
        <v>895</v>
      </c>
      <c r="F202" s="6">
        <v>44155</v>
      </c>
      <c r="G202">
        <v>72</v>
      </c>
      <c r="H202" s="6">
        <v>46346</v>
      </c>
      <c r="I202" t="s">
        <v>888</v>
      </c>
    </row>
    <row r="203" spans="1:9" x14ac:dyDescent="0.3">
      <c r="A203" t="s">
        <v>1096</v>
      </c>
      <c r="B203" t="s">
        <v>884</v>
      </c>
      <c r="C203" t="s">
        <v>885</v>
      </c>
      <c r="D203" t="s">
        <v>886</v>
      </c>
      <c r="E203" t="s">
        <v>895</v>
      </c>
      <c r="F203" s="6">
        <v>44155</v>
      </c>
      <c r="G203">
        <v>72</v>
      </c>
      <c r="H203" s="6">
        <v>46346</v>
      </c>
      <c r="I203" t="s">
        <v>888</v>
      </c>
    </row>
    <row r="204" spans="1:9" x14ac:dyDescent="0.3">
      <c r="A204" t="s">
        <v>1097</v>
      </c>
      <c r="B204" t="s">
        <v>884</v>
      </c>
      <c r="C204" t="s">
        <v>885</v>
      </c>
      <c r="D204" t="s">
        <v>886</v>
      </c>
      <c r="E204" t="s">
        <v>895</v>
      </c>
      <c r="F204" s="6">
        <v>44155</v>
      </c>
      <c r="G204">
        <v>72</v>
      </c>
      <c r="H204" s="6">
        <v>46346</v>
      </c>
      <c r="I204" t="s">
        <v>888</v>
      </c>
    </row>
    <row r="205" spans="1:9" x14ac:dyDescent="0.3">
      <c r="A205" t="s">
        <v>1098</v>
      </c>
      <c r="B205" t="s">
        <v>884</v>
      </c>
      <c r="C205" t="s">
        <v>885</v>
      </c>
      <c r="D205" t="s">
        <v>886</v>
      </c>
      <c r="E205" t="s">
        <v>895</v>
      </c>
      <c r="F205" s="6">
        <v>44155</v>
      </c>
      <c r="G205">
        <v>72</v>
      </c>
      <c r="H205" s="6">
        <v>46346</v>
      </c>
      <c r="I205" t="s">
        <v>888</v>
      </c>
    </row>
    <row r="206" spans="1:9" x14ac:dyDescent="0.3">
      <c r="A206" t="s">
        <v>1099</v>
      </c>
      <c r="B206" t="s">
        <v>884</v>
      </c>
      <c r="C206" t="s">
        <v>885</v>
      </c>
      <c r="D206" t="s">
        <v>886</v>
      </c>
      <c r="E206" t="s">
        <v>895</v>
      </c>
      <c r="F206" s="6">
        <v>44155</v>
      </c>
      <c r="G206">
        <v>72</v>
      </c>
      <c r="H206" s="6">
        <v>46346</v>
      </c>
      <c r="I206" t="s">
        <v>888</v>
      </c>
    </row>
    <row r="207" spans="1:9" x14ac:dyDescent="0.3">
      <c r="A207" t="s">
        <v>1100</v>
      </c>
      <c r="B207" t="s">
        <v>884</v>
      </c>
      <c r="C207" t="s">
        <v>885</v>
      </c>
      <c r="D207" t="s">
        <v>886</v>
      </c>
      <c r="E207" t="s">
        <v>895</v>
      </c>
      <c r="F207" s="6">
        <v>44155</v>
      </c>
      <c r="G207">
        <v>72</v>
      </c>
      <c r="H207" s="6">
        <v>46346</v>
      </c>
      <c r="I207" t="s">
        <v>888</v>
      </c>
    </row>
    <row r="208" spans="1:9" x14ac:dyDescent="0.3">
      <c r="A208" t="s">
        <v>1101</v>
      </c>
      <c r="B208" t="s">
        <v>884</v>
      </c>
      <c r="C208" t="s">
        <v>885</v>
      </c>
      <c r="D208" t="s">
        <v>886</v>
      </c>
      <c r="E208" t="s">
        <v>895</v>
      </c>
      <c r="F208" s="6">
        <v>44155</v>
      </c>
      <c r="G208">
        <v>72</v>
      </c>
      <c r="H208" s="6">
        <v>46346</v>
      </c>
      <c r="I208" t="s">
        <v>888</v>
      </c>
    </row>
    <row r="209" spans="1:9" x14ac:dyDescent="0.3">
      <c r="A209" t="s">
        <v>1102</v>
      </c>
      <c r="B209" t="s">
        <v>884</v>
      </c>
      <c r="C209" t="s">
        <v>885</v>
      </c>
      <c r="D209" t="s">
        <v>886</v>
      </c>
      <c r="E209" t="s">
        <v>895</v>
      </c>
      <c r="F209" s="6">
        <v>44155</v>
      </c>
      <c r="G209">
        <v>72</v>
      </c>
      <c r="H209" s="6">
        <v>46346</v>
      </c>
      <c r="I209" t="s">
        <v>888</v>
      </c>
    </row>
    <row r="210" spans="1:9" x14ac:dyDescent="0.3">
      <c r="A210" t="s">
        <v>1103</v>
      </c>
      <c r="B210" t="s">
        <v>884</v>
      </c>
      <c r="C210" t="s">
        <v>885</v>
      </c>
      <c r="D210" t="s">
        <v>937</v>
      </c>
      <c r="E210" t="s">
        <v>895</v>
      </c>
      <c r="F210" s="6">
        <v>44155</v>
      </c>
      <c r="G210">
        <v>72</v>
      </c>
      <c r="H210" s="6">
        <v>46346</v>
      </c>
      <c r="I210" t="s">
        <v>888</v>
      </c>
    </row>
    <row r="211" spans="1:9" x14ac:dyDescent="0.3">
      <c r="A211" t="s">
        <v>1104</v>
      </c>
      <c r="B211" t="s">
        <v>884</v>
      </c>
      <c r="C211" t="s">
        <v>885</v>
      </c>
      <c r="D211" t="s">
        <v>904</v>
      </c>
      <c r="E211" t="s">
        <v>895</v>
      </c>
      <c r="F211" s="6">
        <v>44155</v>
      </c>
      <c r="G211">
        <v>72</v>
      </c>
      <c r="H211" s="6">
        <v>46346</v>
      </c>
      <c r="I211" t="s">
        <v>888</v>
      </c>
    </row>
    <row r="212" spans="1:9" x14ac:dyDescent="0.3">
      <c r="A212" t="s">
        <v>1105</v>
      </c>
      <c r="B212" t="s">
        <v>884</v>
      </c>
      <c r="C212" t="s">
        <v>885</v>
      </c>
      <c r="D212" t="s">
        <v>904</v>
      </c>
      <c r="E212" t="s">
        <v>895</v>
      </c>
      <c r="F212" s="6">
        <v>44155</v>
      </c>
      <c r="G212">
        <v>72</v>
      </c>
      <c r="H212" s="6">
        <v>46346</v>
      </c>
      <c r="I212" t="s">
        <v>888</v>
      </c>
    </row>
    <row r="213" spans="1:9" x14ac:dyDescent="0.3">
      <c r="A213" t="s">
        <v>1106</v>
      </c>
      <c r="B213" t="s">
        <v>884</v>
      </c>
      <c r="C213" t="s">
        <v>885</v>
      </c>
      <c r="D213" t="s">
        <v>904</v>
      </c>
      <c r="E213" t="s">
        <v>895</v>
      </c>
      <c r="F213" s="6">
        <v>44155</v>
      </c>
      <c r="G213">
        <v>72</v>
      </c>
      <c r="H213" s="6">
        <v>46346</v>
      </c>
      <c r="I213" t="s">
        <v>888</v>
      </c>
    </row>
    <row r="214" spans="1:9" x14ac:dyDescent="0.3">
      <c r="A214" t="s">
        <v>1107</v>
      </c>
      <c r="B214" t="s">
        <v>884</v>
      </c>
      <c r="C214" t="s">
        <v>885</v>
      </c>
      <c r="D214" t="s">
        <v>904</v>
      </c>
      <c r="E214" t="s">
        <v>895</v>
      </c>
      <c r="F214" s="6">
        <v>44155</v>
      </c>
      <c r="G214">
        <v>72</v>
      </c>
      <c r="H214" s="6">
        <v>46346</v>
      </c>
      <c r="I214" t="s">
        <v>888</v>
      </c>
    </row>
    <row r="215" spans="1:9" x14ac:dyDescent="0.3">
      <c r="A215" t="s">
        <v>1108</v>
      </c>
      <c r="B215" t="s">
        <v>884</v>
      </c>
      <c r="C215" t="s">
        <v>885</v>
      </c>
      <c r="D215" t="s">
        <v>904</v>
      </c>
      <c r="E215" t="s">
        <v>895</v>
      </c>
      <c r="F215" s="6">
        <v>44155</v>
      </c>
      <c r="G215">
        <v>72</v>
      </c>
      <c r="H215" s="6">
        <v>46346</v>
      </c>
      <c r="I215" t="s">
        <v>888</v>
      </c>
    </row>
    <row r="216" spans="1:9" x14ac:dyDescent="0.3">
      <c r="A216" t="s">
        <v>1109</v>
      </c>
      <c r="B216" t="s">
        <v>884</v>
      </c>
      <c r="C216" t="s">
        <v>885</v>
      </c>
      <c r="D216" t="s">
        <v>904</v>
      </c>
      <c r="E216" t="s">
        <v>895</v>
      </c>
      <c r="F216" s="6">
        <v>44155</v>
      </c>
      <c r="G216">
        <v>72</v>
      </c>
      <c r="H216" s="6">
        <v>46346</v>
      </c>
      <c r="I216" t="s">
        <v>888</v>
      </c>
    </row>
    <row r="217" spans="1:9" x14ac:dyDescent="0.3">
      <c r="A217" t="s">
        <v>1110</v>
      </c>
      <c r="B217" t="s">
        <v>884</v>
      </c>
      <c r="C217" t="s">
        <v>885</v>
      </c>
      <c r="D217" t="s">
        <v>904</v>
      </c>
      <c r="E217" t="s">
        <v>895</v>
      </c>
      <c r="F217" s="6">
        <v>44155</v>
      </c>
      <c r="G217">
        <v>72</v>
      </c>
      <c r="H217" s="6">
        <v>46346</v>
      </c>
      <c r="I217" t="s">
        <v>888</v>
      </c>
    </row>
    <row r="218" spans="1:9" x14ac:dyDescent="0.3">
      <c r="A218" t="s">
        <v>1111</v>
      </c>
      <c r="B218" t="s">
        <v>884</v>
      </c>
      <c r="C218" t="s">
        <v>885</v>
      </c>
      <c r="D218" t="s">
        <v>909</v>
      </c>
      <c r="E218" t="s">
        <v>895</v>
      </c>
      <c r="F218" s="6">
        <v>44155</v>
      </c>
      <c r="G218">
        <v>72</v>
      </c>
      <c r="H218" s="6">
        <v>46346</v>
      </c>
      <c r="I218" t="s">
        <v>888</v>
      </c>
    </row>
    <row r="219" spans="1:9" x14ac:dyDescent="0.3">
      <c r="A219" t="s">
        <v>1112</v>
      </c>
      <c r="B219" t="s">
        <v>884</v>
      </c>
      <c r="C219" t="s">
        <v>885</v>
      </c>
      <c r="D219" t="s">
        <v>909</v>
      </c>
      <c r="E219" t="s">
        <v>895</v>
      </c>
      <c r="F219" s="6">
        <v>44155</v>
      </c>
      <c r="G219">
        <v>72</v>
      </c>
      <c r="H219" s="6">
        <v>46346</v>
      </c>
      <c r="I219" t="s">
        <v>888</v>
      </c>
    </row>
    <row r="220" spans="1:9" x14ac:dyDescent="0.3">
      <c r="A220" t="s">
        <v>1113</v>
      </c>
      <c r="B220" t="s">
        <v>884</v>
      </c>
      <c r="C220" t="s">
        <v>885</v>
      </c>
      <c r="D220" t="s">
        <v>909</v>
      </c>
      <c r="E220" t="s">
        <v>895</v>
      </c>
      <c r="F220" s="6">
        <v>44155</v>
      </c>
      <c r="G220">
        <v>72</v>
      </c>
      <c r="H220" s="6">
        <v>46346</v>
      </c>
      <c r="I220" t="s">
        <v>888</v>
      </c>
    </row>
    <row r="221" spans="1:9" x14ac:dyDescent="0.3">
      <c r="A221" t="s">
        <v>1114</v>
      </c>
      <c r="B221" t="s">
        <v>884</v>
      </c>
      <c r="C221" t="s">
        <v>885</v>
      </c>
      <c r="D221" t="s">
        <v>909</v>
      </c>
      <c r="E221" t="s">
        <v>895</v>
      </c>
      <c r="F221" s="6">
        <v>44155</v>
      </c>
      <c r="G221">
        <v>72</v>
      </c>
      <c r="H221" s="6">
        <v>46346</v>
      </c>
      <c r="I221" t="s">
        <v>888</v>
      </c>
    </row>
    <row r="222" spans="1:9" x14ac:dyDescent="0.3">
      <c r="A222" t="s">
        <v>1115</v>
      </c>
      <c r="B222" t="s">
        <v>884</v>
      </c>
      <c r="C222" t="s">
        <v>885</v>
      </c>
      <c r="D222" t="s">
        <v>909</v>
      </c>
      <c r="E222" t="s">
        <v>895</v>
      </c>
      <c r="F222" s="6">
        <v>44155</v>
      </c>
      <c r="G222">
        <v>72</v>
      </c>
      <c r="H222" s="6">
        <v>46346</v>
      </c>
      <c r="I222" t="s">
        <v>888</v>
      </c>
    </row>
    <row r="223" spans="1:9" x14ac:dyDescent="0.3">
      <c r="A223" t="s">
        <v>1116</v>
      </c>
      <c r="B223" t="s">
        <v>884</v>
      </c>
      <c r="C223" t="s">
        <v>885</v>
      </c>
      <c r="D223" t="s">
        <v>909</v>
      </c>
      <c r="E223" t="s">
        <v>895</v>
      </c>
      <c r="F223" s="6">
        <v>44155</v>
      </c>
      <c r="G223">
        <v>72</v>
      </c>
      <c r="H223" s="6">
        <v>46346</v>
      </c>
      <c r="I223" t="s">
        <v>888</v>
      </c>
    </row>
    <row r="224" spans="1:9" x14ac:dyDescent="0.3">
      <c r="A224" t="s">
        <v>1117</v>
      </c>
      <c r="B224" t="s">
        <v>884</v>
      </c>
      <c r="C224" t="s">
        <v>885</v>
      </c>
      <c r="D224" t="s">
        <v>909</v>
      </c>
      <c r="E224" t="s">
        <v>895</v>
      </c>
      <c r="F224" s="6">
        <v>44155</v>
      </c>
      <c r="G224">
        <v>72</v>
      </c>
      <c r="H224" s="6">
        <v>46346</v>
      </c>
      <c r="I224" t="s">
        <v>888</v>
      </c>
    </row>
    <row r="225" spans="1:9" x14ac:dyDescent="0.3">
      <c r="A225" t="s">
        <v>1118</v>
      </c>
      <c r="B225" t="s">
        <v>884</v>
      </c>
      <c r="C225" t="s">
        <v>885</v>
      </c>
      <c r="D225" t="s">
        <v>909</v>
      </c>
      <c r="E225" t="s">
        <v>895</v>
      </c>
      <c r="F225" s="6">
        <v>44155</v>
      </c>
      <c r="G225">
        <v>72</v>
      </c>
      <c r="H225" s="6">
        <v>46346</v>
      </c>
      <c r="I225" t="s">
        <v>888</v>
      </c>
    </row>
    <row r="226" spans="1:9" x14ac:dyDescent="0.3">
      <c r="A226" t="s">
        <v>1119</v>
      </c>
      <c r="B226" t="s">
        <v>884</v>
      </c>
      <c r="C226" t="s">
        <v>885</v>
      </c>
      <c r="D226" t="s">
        <v>893</v>
      </c>
      <c r="E226" t="s">
        <v>895</v>
      </c>
      <c r="F226" s="6">
        <v>44155</v>
      </c>
      <c r="G226">
        <v>72</v>
      </c>
      <c r="H226" s="6">
        <v>46346</v>
      </c>
      <c r="I226" t="s">
        <v>888</v>
      </c>
    </row>
    <row r="227" spans="1:9" x14ac:dyDescent="0.3">
      <c r="A227" t="s">
        <v>1120</v>
      </c>
      <c r="B227" t="s">
        <v>884</v>
      </c>
      <c r="C227" t="s">
        <v>885</v>
      </c>
      <c r="D227" t="s">
        <v>893</v>
      </c>
      <c r="E227" t="s">
        <v>895</v>
      </c>
      <c r="F227" s="6">
        <v>44155</v>
      </c>
      <c r="G227">
        <v>72</v>
      </c>
      <c r="H227" s="6">
        <v>46346</v>
      </c>
      <c r="I227" t="s">
        <v>888</v>
      </c>
    </row>
    <row r="228" spans="1:9" x14ac:dyDescent="0.3">
      <c r="A228" t="s">
        <v>1121</v>
      </c>
      <c r="B228" t="s">
        <v>884</v>
      </c>
      <c r="C228" t="s">
        <v>885</v>
      </c>
      <c r="D228" t="s">
        <v>893</v>
      </c>
      <c r="E228" t="s">
        <v>895</v>
      </c>
      <c r="F228" s="6">
        <v>44155</v>
      </c>
      <c r="G228">
        <v>72</v>
      </c>
      <c r="H228" s="6">
        <v>46346</v>
      </c>
      <c r="I228" t="s">
        <v>888</v>
      </c>
    </row>
    <row r="229" spans="1:9" x14ac:dyDescent="0.3">
      <c r="A229" t="s">
        <v>1122</v>
      </c>
      <c r="B229" t="s">
        <v>884</v>
      </c>
      <c r="C229" t="s">
        <v>885</v>
      </c>
      <c r="D229" t="s">
        <v>893</v>
      </c>
      <c r="E229" t="s">
        <v>895</v>
      </c>
      <c r="F229" s="6">
        <v>44155</v>
      </c>
      <c r="G229">
        <v>72</v>
      </c>
      <c r="H229" s="6">
        <v>46346</v>
      </c>
      <c r="I229" t="s">
        <v>888</v>
      </c>
    </row>
    <row r="230" spans="1:9" x14ac:dyDescent="0.3">
      <c r="A230" t="s">
        <v>1123</v>
      </c>
      <c r="B230" t="s">
        <v>884</v>
      </c>
      <c r="C230" t="s">
        <v>885</v>
      </c>
      <c r="D230" t="s">
        <v>893</v>
      </c>
      <c r="E230" t="s">
        <v>895</v>
      </c>
      <c r="F230" s="6">
        <v>44155</v>
      </c>
      <c r="G230">
        <v>72</v>
      </c>
      <c r="H230" s="6">
        <v>46346</v>
      </c>
      <c r="I230" t="s">
        <v>888</v>
      </c>
    </row>
    <row r="231" spans="1:9" x14ac:dyDescent="0.3">
      <c r="A231" t="s">
        <v>1124</v>
      </c>
      <c r="B231" t="s">
        <v>884</v>
      </c>
      <c r="C231" t="s">
        <v>885</v>
      </c>
      <c r="D231" t="s">
        <v>893</v>
      </c>
      <c r="E231" t="s">
        <v>895</v>
      </c>
      <c r="F231" s="6">
        <v>44155</v>
      </c>
      <c r="G231">
        <v>72</v>
      </c>
      <c r="H231" s="6">
        <v>46346</v>
      </c>
      <c r="I231" t="s">
        <v>888</v>
      </c>
    </row>
    <row r="232" spans="1:9" x14ac:dyDescent="0.3">
      <c r="A232" t="s">
        <v>1125</v>
      </c>
      <c r="B232" t="s">
        <v>884</v>
      </c>
      <c r="C232" t="s">
        <v>885</v>
      </c>
      <c r="D232" t="s">
        <v>893</v>
      </c>
      <c r="E232" t="s">
        <v>895</v>
      </c>
      <c r="F232" s="6">
        <v>44155</v>
      </c>
      <c r="G232">
        <v>72</v>
      </c>
      <c r="H232" s="6">
        <v>46346</v>
      </c>
      <c r="I232" t="s">
        <v>888</v>
      </c>
    </row>
    <row r="233" spans="1:9" x14ac:dyDescent="0.3">
      <c r="A233" t="s">
        <v>1126</v>
      </c>
      <c r="B233" t="s">
        <v>884</v>
      </c>
      <c r="C233" t="s">
        <v>885</v>
      </c>
      <c r="D233" t="s">
        <v>893</v>
      </c>
      <c r="E233" t="s">
        <v>895</v>
      </c>
      <c r="F233" s="6">
        <v>44155</v>
      </c>
      <c r="G233">
        <v>72</v>
      </c>
      <c r="H233" s="6">
        <v>46346</v>
      </c>
      <c r="I233" t="s">
        <v>888</v>
      </c>
    </row>
    <row r="234" spans="1:9" x14ac:dyDescent="0.3">
      <c r="A234" t="s">
        <v>1127</v>
      </c>
      <c r="B234" t="s">
        <v>884</v>
      </c>
      <c r="C234" t="s">
        <v>885</v>
      </c>
      <c r="D234" t="s">
        <v>893</v>
      </c>
      <c r="E234" t="s">
        <v>895</v>
      </c>
      <c r="F234" s="6">
        <v>44155</v>
      </c>
      <c r="G234">
        <v>72</v>
      </c>
      <c r="H234" s="6">
        <v>46346</v>
      </c>
      <c r="I234" t="s">
        <v>888</v>
      </c>
    </row>
    <row r="235" spans="1:9" x14ac:dyDescent="0.3">
      <c r="A235" t="s">
        <v>1128</v>
      </c>
      <c r="B235" t="s">
        <v>884</v>
      </c>
      <c r="C235" t="s">
        <v>885</v>
      </c>
      <c r="D235" t="s">
        <v>893</v>
      </c>
      <c r="E235" t="s">
        <v>1129</v>
      </c>
      <c r="F235" s="6">
        <v>44155</v>
      </c>
      <c r="G235">
        <v>72</v>
      </c>
      <c r="H235" s="6">
        <v>46346</v>
      </c>
      <c r="I235" t="s">
        <v>888</v>
      </c>
    </row>
    <row r="236" spans="1:9" x14ac:dyDescent="0.3">
      <c r="A236" t="s">
        <v>1130</v>
      </c>
      <c r="B236" t="s">
        <v>884</v>
      </c>
      <c r="C236" t="s">
        <v>885</v>
      </c>
      <c r="D236" t="s">
        <v>893</v>
      </c>
      <c r="E236" t="s">
        <v>895</v>
      </c>
      <c r="F236" s="6">
        <v>44155</v>
      </c>
      <c r="G236">
        <v>72</v>
      </c>
      <c r="H236" s="6">
        <v>46346</v>
      </c>
      <c r="I236" t="s">
        <v>888</v>
      </c>
    </row>
    <row r="237" spans="1:9" x14ac:dyDescent="0.3">
      <c r="A237" t="s">
        <v>1131</v>
      </c>
      <c r="B237" t="s">
        <v>884</v>
      </c>
      <c r="C237" t="s">
        <v>885</v>
      </c>
      <c r="D237" t="s">
        <v>893</v>
      </c>
      <c r="E237" t="s">
        <v>895</v>
      </c>
      <c r="F237" s="6">
        <v>44155</v>
      </c>
      <c r="G237">
        <v>72</v>
      </c>
      <c r="H237" s="6">
        <v>46346</v>
      </c>
      <c r="I237" t="s">
        <v>888</v>
      </c>
    </row>
    <row r="238" spans="1:9" x14ac:dyDescent="0.3">
      <c r="A238" t="s">
        <v>1132</v>
      </c>
      <c r="B238" t="s">
        <v>884</v>
      </c>
      <c r="C238" t="s">
        <v>885</v>
      </c>
      <c r="D238" t="s">
        <v>893</v>
      </c>
      <c r="E238" t="s">
        <v>895</v>
      </c>
      <c r="F238" s="6">
        <v>44155</v>
      </c>
      <c r="G238">
        <v>72</v>
      </c>
      <c r="H238" s="6">
        <v>46346</v>
      </c>
      <c r="I238" t="s">
        <v>888</v>
      </c>
    </row>
    <row r="239" spans="1:9" x14ac:dyDescent="0.3">
      <c r="A239" t="s">
        <v>1133</v>
      </c>
      <c r="B239" t="s">
        <v>884</v>
      </c>
      <c r="C239" t="s">
        <v>885</v>
      </c>
      <c r="D239" t="s">
        <v>893</v>
      </c>
      <c r="E239" t="s">
        <v>895</v>
      </c>
      <c r="F239" s="6">
        <v>44155</v>
      </c>
      <c r="G239">
        <v>72</v>
      </c>
      <c r="H239" s="6">
        <v>46346</v>
      </c>
      <c r="I239" t="s">
        <v>888</v>
      </c>
    </row>
    <row r="240" spans="1:9" x14ac:dyDescent="0.3">
      <c r="A240" t="s">
        <v>1134</v>
      </c>
      <c r="B240" t="s">
        <v>884</v>
      </c>
      <c r="C240" t="s">
        <v>885</v>
      </c>
      <c r="D240" t="s">
        <v>893</v>
      </c>
      <c r="E240" t="s">
        <v>895</v>
      </c>
      <c r="F240" s="6">
        <v>44155</v>
      </c>
      <c r="G240">
        <v>72</v>
      </c>
      <c r="H240" s="6">
        <v>46346</v>
      </c>
      <c r="I240" t="s">
        <v>888</v>
      </c>
    </row>
    <row r="241" spans="1:9" x14ac:dyDescent="0.3">
      <c r="A241" t="s">
        <v>1135</v>
      </c>
      <c r="B241" t="s">
        <v>884</v>
      </c>
      <c r="C241" t="s">
        <v>885</v>
      </c>
      <c r="D241" t="s">
        <v>893</v>
      </c>
      <c r="E241" t="s">
        <v>895</v>
      </c>
      <c r="F241" s="6">
        <v>44155</v>
      </c>
      <c r="G241">
        <v>72</v>
      </c>
      <c r="H241" s="6">
        <v>46346</v>
      </c>
      <c r="I241" t="s">
        <v>888</v>
      </c>
    </row>
    <row r="242" spans="1:9" x14ac:dyDescent="0.3">
      <c r="A242" t="s">
        <v>1136</v>
      </c>
      <c r="B242" t="s">
        <v>884</v>
      </c>
      <c r="C242" t="s">
        <v>885</v>
      </c>
      <c r="D242" t="s">
        <v>893</v>
      </c>
      <c r="E242" t="s">
        <v>895</v>
      </c>
      <c r="F242" s="6">
        <v>44155</v>
      </c>
      <c r="G242">
        <v>72</v>
      </c>
      <c r="H242" s="6">
        <v>46346</v>
      </c>
      <c r="I242" t="s">
        <v>888</v>
      </c>
    </row>
    <row r="243" spans="1:9" x14ac:dyDescent="0.3">
      <c r="A243" t="s">
        <v>1137</v>
      </c>
      <c r="B243" t="s">
        <v>884</v>
      </c>
      <c r="C243" t="s">
        <v>885</v>
      </c>
      <c r="D243" t="s">
        <v>893</v>
      </c>
      <c r="E243" t="s">
        <v>895</v>
      </c>
      <c r="F243" s="6">
        <v>44155</v>
      </c>
      <c r="G243">
        <v>72</v>
      </c>
      <c r="H243" s="6">
        <v>46346</v>
      </c>
      <c r="I243" t="s">
        <v>888</v>
      </c>
    </row>
    <row r="244" spans="1:9" x14ac:dyDescent="0.3">
      <c r="A244" t="s">
        <v>1138</v>
      </c>
      <c r="B244" t="s">
        <v>884</v>
      </c>
      <c r="C244" t="s">
        <v>885</v>
      </c>
      <c r="D244" t="s">
        <v>893</v>
      </c>
      <c r="E244" t="s">
        <v>895</v>
      </c>
      <c r="F244" s="6">
        <v>44155</v>
      </c>
      <c r="G244">
        <v>72</v>
      </c>
      <c r="H244" s="6">
        <v>46346</v>
      </c>
      <c r="I244" t="s">
        <v>888</v>
      </c>
    </row>
    <row r="245" spans="1:9" x14ac:dyDescent="0.3">
      <c r="A245" t="s">
        <v>1139</v>
      </c>
      <c r="B245" t="s">
        <v>884</v>
      </c>
      <c r="C245" t="s">
        <v>885</v>
      </c>
      <c r="D245" t="s">
        <v>893</v>
      </c>
      <c r="E245" t="s">
        <v>895</v>
      </c>
      <c r="F245" s="6">
        <v>44155</v>
      </c>
      <c r="G245">
        <v>72</v>
      </c>
      <c r="H245" s="6">
        <v>46346</v>
      </c>
      <c r="I245" t="s">
        <v>888</v>
      </c>
    </row>
    <row r="246" spans="1:9" x14ac:dyDescent="0.3">
      <c r="A246" t="s">
        <v>1140</v>
      </c>
      <c r="B246" t="s">
        <v>884</v>
      </c>
      <c r="C246" t="s">
        <v>885</v>
      </c>
      <c r="D246" t="s">
        <v>893</v>
      </c>
      <c r="E246" t="s">
        <v>895</v>
      </c>
      <c r="F246" s="6">
        <v>44155</v>
      </c>
      <c r="G246">
        <v>72</v>
      </c>
      <c r="H246" s="6">
        <v>46346</v>
      </c>
      <c r="I246" t="s">
        <v>888</v>
      </c>
    </row>
    <row r="247" spans="1:9" x14ac:dyDescent="0.3">
      <c r="A247" t="s">
        <v>1141</v>
      </c>
      <c r="B247" t="s">
        <v>884</v>
      </c>
      <c r="C247" t="s">
        <v>885</v>
      </c>
      <c r="D247" t="s">
        <v>893</v>
      </c>
      <c r="E247" t="s">
        <v>895</v>
      </c>
      <c r="F247" s="6">
        <v>44155</v>
      </c>
      <c r="G247">
        <v>72</v>
      </c>
      <c r="H247" s="6">
        <v>46346</v>
      </c>
      <c r="I247" t="s">
        <v>888</v>
      </c>
    </row>
    <row r="248" spans="1:9" x14ac:dyDescent="0.3">
      <c r="A248" t="s">
        <v>1142</v>
      </c>
      <c r="B248" t="s">
        <v>884</v>
      </c>
      <c r="C248" t="s">
        <v>885</v>
      </c>
      <c r="D248" t="s">
        <v>893</v>
      </c>
      <c r="E248" t="s">
        <v>895</v>
      </c>
      <c r="F248" s="6">
        <v>44155</v>
      </c>
      <c r="G248">
        <v>72</v>
      </c>
      <c r="H248" s="6">
        <v>46346</v>
      </c>
      <c r="I248" t="s">
        <v>888</v>
      </c>
    </row>
    <row r="249" spans="1:9" x14ac:dyDescent="0.3">
      <c r="A249" t="s">
        <v>1143</v>
      </c>
      <c r="B249" t="s">
        <v>884</v>
      </c>
      <c r="C249" t="s">
        <v>885</v>
      </c>
      <c r="D249" t="s">
        <v>893</v>
      </c>
      <c r="E249" t="s">
        <v>895</v>
      </c>
      <c r="F249" s="6">
        <v>44155</v>
      </c>
      <c r="G249">
        <v>72</v>
      </c>
      <c r="H249" s="6">
        <v>46346</v>
      </c>
      <c r="I249" t="s">
        <v>888</v>
      </c>
    </row>
    <row r="250" spans="1:9" x14ac:dyDescent="0.3">
      <c r="A250" t="s">
        <v>1144</v>
      </c>
      <c r="B250" t="s">
        <v>884</v>
      </c>
      <c r="C250" t="s">
        <v>885</v>
      </c>
      <c r="D250" t="s">
        <v>893</v>
      </c>
      <c r="E250" t="s">
        <v>895</v>
      </c>
      <c r="F250" s="6">
        <v>44155</v>
      </c>
      <c r="G250">
        <v>72</v>
      </c>
      <c r="H250" s="6">
        <v>46346</v>
      </c>
      <c r="I250" t="s">
        <v>888</v>
      </c>
    </row>
    <row r="251" spans="1:9" x14ac:dyDescent="0.3">
      <c r="A251" t="s">
        <v>1145</v>
      </c>
      <c r="B251" t="s">
        <v>884</v>
      </c>
      <c r="C251" t="s">
        <v>885</v>
      </c>
      <c r="D251" t="s">
        <v>893</v>
      </c>
      <c r="E251" t="s">
        <v>895</v>
      </c>
      <c r="F251" s="6">
        <v>44155</v>
      </c>
      <c r="G251">
        <v>72</v>
      </c>
      <c r="H251" s="6">
        <v>46346</v>
      </c>
      <c r="I251" t="s">
        <v>888</v>
      </c>
    </row>
    <row r="252" spans="1:9" x14ac:dyDescent="0.3">
      <c r="A252" t="s">
        <v>1146</v>
      </c>
      <c r="B252" t="s">
        <v>884</v>
      </c>
      <c r="C252" t="s">
        <v>885</v>
      </c>
      <c r="D252" t="s">
        <v>893</v>
      </c>
      <c r="E252" t="s">
        <v>895</v>
      </c>
      <c r="F252" s="6">
        <v>44155</v>
      </c>
      <c r="G252">
        <v>72</v>
      </c>
      <c r="H252" s="6">
        <v>46346</v>
      </c>
      <c r="I252" t="s">
        <v>888</v>
      </c>
    </row>
    <row r="253" spans="1:9" x14ac:dyDescent="0.3">
      <c r="A253" t="s">
        <v>1147</v>
      </c>
      <c r="B253" t="s">
        <v>884</v>
      </c>
      <c r="C253" t="s">
        <v>885</v>
      </c>
      <c r="D253" t="s">
        <v>893</v>
      </c>
      <c r="E253" t="s">
        <v>895</v>
      </c>
      <c r="F253" s="6">
        <v>44155</v>
      </c>
      <c r="G253">
        <v>72</v>
      </c>
      <c r="H253" s="6">
        <v>46346</v>
      </c>
      <c r="I253" t="s">
        <v>888</v>
      </c>
    </row>
    <row r="254" spans="1:9" x14ac:dyDescent="0.3">
      <c r="A254" t="s">
        <v>1148</v>
      </c>
      <c r="B254" t="s">
        <v>884</v>
      </c>
      <c r="C254" t="s">
        <v>885</v>
      </c>
      <c r="D254" t="s">
        <v>893</v>
      </c>
      <c r="E254" t="s">
        <v>895</v>
      </c>
      <c r="F254" s="6">
        <v>44155</v>
      </c>
      <c r="G254">
        <v>72</v>
      </c>
      <c r="H254" s="6">
        <v>46346</v>
      </c>
      <c r="I254" t="s">
        <v>888</v>
      </c>
    </row>
    <row r="255" spans="1:9" x14ac:dyDescent="0.3">
      <c r="A255" t="s">
        <v>1149</v>
      </c>
      <c r="B255" t="s">
        <v>884</v>
      </c>
      <c r="C255" t="s">
        <v>885</v>
      </c>
      <c r="D255" t="s">
        <v>893</v>
      </c>
      <c r="E255" t="s">
        <v>895</v>
      </c>
      <c r="F255" s="6">
        <v>44155</v>
      </c>
      <c r="G255">
        <v>72</v>
      </c>
      <c r="H255" s="6">
        <v>46346</v>
      </c>
      <c r="I255" t="s">
        <v>888</v>
      </c>
    </row>
    <row r="256" spans="1:9" x14ac:dyDescent="0.3">
      <c r="A256" t="s">
        <v>1150</v>
      </c>
      <c r="B256" t="s">
        <v>884</v>
      </c>
      <c r="C256" t="s">
        <v>885</v>
      </c>
      <c r="D256" t="s">
        <v>893</v>
      </c>
      <c r="E256" t="s">
        <v>895</v>
      </c>
      <c r="F256" s="6">
        <v>44155</v>
      </c>
      <c r="G256">
        <v>72</v>
      </c>
      <c r="H256" s="6">
        <v>46346</v>
      </c>
      <c r="I256" t="s">
        <v>888</v>
      </c>
    </row>
    <row r="257" spans="1:9" x14ac:dyDescent="0.3">
      <c r="A257" t="s">
        <v>1151</v>
      </c>
      <c r="B257" t="s">
        <v>884</v>
      </c>
      <c r="C257" t="s">
        <v>885</v>
      </c>
      <c r="D257" t="s">
        <v>893</v>
      </c>
      <c r="E257" t="s">
        <v>895</v>
      </c>
      <c r="F257" s="6">
        <v>44155</v>
      </c>
      <c r="G257">
        <v>72</v>
      </c>
      <c r="H257" s="6">
        <v>46346</v>
      </c>
      <c r="I257" t="s">
        <v>888</v>
      </c>
    </row>
    <row r="258" spans="1:9" x14ac:dyDescent="0.3">
      <c r="A258" t="s">
        <v>1152</v>
      </c>
      <c r="B258" t="s">
        <v>884</v>
      </c>
      <c r="C258" t="s">
        <v>885</v>
      </c>
      <c r="D258" t="s">
        <v>937</v>
      </c>
      <c r="E258" t="s">
        <v>895</v>
      </c>
      <c r="F258" s="6">
        <v>44155</v>
      </c>
      <c r="G258">
        <v>72</v>
      </c>
      <c r="H258" s="6">
        <v>46346</v>
      </c>
      <c r="I258" t="s">
        <v>888</v>
      </c>
    </row>
    <row r="259" spans="1:9" x14ac:dyDescent="0.3">
      <c r="A259" t="s">
        <v>1153</v>
      </c>
      <c r="B259" t="s">
        <v>884</v>
      </c>
      <c r="C259" t="s">
        <v>885</v>
      </c>
      <c r="D259" t="s">
        <v>937</v>
      </c>
      <c r="E259" t="s">
        <v>895</v>
      </c>
      <c r="F259" s="6">
        <v>44155</v>
      </c>
      <c r="G259">
        <v>72</v>
      </c>
      <c r="H259" s="6">
        <v>46346</v>
      </c>
      <c r="I259" t="s">
        <v>888</v>
      </c>
    </row>
    <row r="260" spans="1:9" x14ac:dyDescent="0.3">
      <c r="A260" t="s">
        <v>1154</v>
      </c>
      <c r="B260" t="s">
        <v>884</v>
      </c>
      <c r="C260" t="s">
        <v>885</v>
      </c>
      <c r="D260" t="s">
        <v>937</v>
      </c>
      <c r="E260" t="s">
        <v>895</v>
      </c>
      <c r="F260" s="6">
        <v>44155</v>
      </c>
      <c r="G260">
        <v>72</v>
      </c>
      <c r="H260" s="6">
        <v>46346</v>
      </c>
      <c r="I260" t="s">
        <v>888</v>
      </c>
    </row>
    <row r="261" spans="1:9" x14ac:dyDescent="0.3">
      <c r="A261" t="s">
        <v>1155</v>
      </c>
      <c r="B261" t="s">
        <v>884</v>
      </c>
      <c r="C261" t="s">
        <v>885</v>
      </c>
      <c r="D261" t="s">
        <v>937</v>
      </c>
      <c r="E261" t="s">
        <v>895</v>
      </c>
      <c r="F261" s="6">
        <v>44155</v>
      </c>
      <c r="G261">
        <v>72</v>
      </c>
      <c r="H261" s="6">
        <v>46346</v>
      </c>
      <c r="I261" t="s">
        <v>888</v>
      </c>
    </row>
    <row r="262" spans="1:9" x14ac:dyDescent="0.3">
      <c r="A262" t="s">
        <v>1156</v>
      </c>
      <c r="B262" t="s">
        <v>884</v>
      </c>
      <c r="C262" t="s">
        <v>885</v>
      </c>
      <c r="D262" t="s">
        <v>937</v>
      </c>
      <c r="E262" t="s">
        <v>895</v>
      </c>
      <c r="F262" s="6">
        <v>44155</v>
      </c>
      <c r="G262">
        <v>72</v>
      </c>
      <c r="H262" s="6">
        <v>46346</v>
      </c>
      <c r="I262" t="s">
        <v>888</v>
      </c>
    </row>
    <row r="263" spans="1:9" x14ac:dyDescent="0.3">
      <c r="A263" t="s">
        <v>1157</v>
      </c>
      <c r="B263" t="s">
        <v>884</v>
      </c>
      <c r="C263" t="s">
        <v>885</v>
      </c>
      <c r="D263" t="s">
        <v>937</v>
      </c>
      <c r="E263" t="s">
        <v>895</v>
      </c>
      <c r="F263" s="6">
        <v>44155</v>
      </c>
      <c r="G263">
        <v>72</v>
      </c>
      <c r="H263" s="6">
        <v>46346</v>
      </c>
      <c r="I263" t="s">
        <v>888</v>
      </c>
    </row>
    <row r="264" spans="1:9" x14ac:dyDescent="0.3">
      <c r="A264" t="s">
        <v>1158</v>
      </c>
      <c r="B264" t="s">
        <v>884</v>
      </c>
      <c r="C264" t="s">
        <v>885</v>
      </c>
      <c r="D264" t="s">
        <v>937</v>
      </c>
      <c r="E264" t="s">
        <v>895</v>
      </c>
      <c r="F264" s="6">
        <v>44155</v>
      </c>
      <c r="G264">
        <v>72</v>
      </c>
      <c r="H264" s="6">
        <v>46346</v>
      </c>
      <c r="I264" t="s">
        <v>888</v>
      </c>
    </row>
    <row r="265" spans="1:9" x14ac:dyDescent="0.3">
      <c r="A265" t="s">
        <v>1159</v>
      </c>
      <c r="B265" t="s">
        <v>884</v>
      </c>
      <c r="C265" t="s">
        <v>885</v>
      </c>
      <c r="D265" t="s">
        <v>937</v>
      </c>
      <c r="E265" t="s">
        <v>895</v>
      </c>
      <c r="F265" s="6">
        <v>44155</v>
      </c>
      <c r="G265">
        <v>72</v>
      </c>
      <c r="H265" s="6">
        <v>46346</v>
      </c>
      <c r="I265" t="s">
        <v>888</v>
      </c>
    </row>
    <row r="266" spans="1:9" x14ac:dyDescent="0.3">
      <c r="A266" t="s">
        <v>1160</v>
      </c>
      <c r="B266" t="s">
        <v>884</v>
      </c>
      <c r="C266" t="s">
        <v>885</v>
      </c>
      <c r="D266" t="s">
        <v>937</v>
      </c>
      <c r="E266" t="s">
        <v>895</v>
      </c>
      <c r="F266" s="6">
        <v>44155</v>
      </c>
      <c r="G266">
        <v>72</v>
      </c>
      <c r="H266" s="6">
        <v>46346</v>
      </c>
      <c r="I266" t="s">
        <v>888</v>
      </c>
    </row>
    <row r="267" spans="1:9" x14ac:dyDescent="0.3">
      <c r="A267" t="s">
        <v>1161</v>
      </c>
      <c r="B267" t="s">
        <v>884</v>
      </c>
      <c r="C267" t="s">
        <v>885</v>
      </c>
      <c r="D267" t="s">
        <v>886</v>
      </c>
      <c r="E267" t="s">
        <v>895</v>
      </c>
      <c r="F267" s="6">
        <v>44155</v>
      </c>
      <c r="G267">
        <v>72</v>
      </c>
      <c r="H267" s="6">
        <v>46346</v>
      </c>
      <c r="I267" t="s">
        <v>888</v>
      </c>
    </row>
    <row r="268" spans="1:9" x14ac:dyDescent="0.3">
      <c r="A268" t="s">
        <v>1162</v>
      </c>
      <c r="B268" t="s">
        <v>884</v>
      </c>
      <c r="C268" t="s">
        <v>885</v>
      </c>
      <c r="D268" t="s">
        <v>886</v>
      </c>
      <c r="E268" t="s">
        <v>895</v>
      </c>
      <c r="F268" s="6">
        <v>44155</v>
      </c>
      <c r="G268">
        <v>72</v>
      </c>
      <c r="H268" s="6">
        <v>46346</v>
      </c>
      <c r="I268" t="s">
        <v>888</v>
      </c>
    </row>
    <row r="269" spans="1:9" x14ac:dyDescent="0.3">
      <c r="A269" t="s">
        <v>1163</v>
      </c>
      <c r="B269" t="s">
        <v>884</v>
      </c>
      <c r="C269" t="s">
        <v>885</v>
      </c>
      <c r="D269" t="s">
        <v>886</v>
      </c>
      <c r="E269" t="s">
        <v>895</v>
      </c>
      <c r="F269" s="6">
        <v>44155</v>
      </c>
      <c r="G269">
        <v>72</v>
      </c>
      <c r="H269" s="6">
        <v>46346</v>
      </c>
      <c r="I269" t="s">
        <v>888</v>
      </c>
    </row>
    <row r="270" spans="1:9" x14ac:dyDescent="0.3">
      <c r="A270" t="s">
        <v>1164</v>
      </c>
      <c r="B270" t="s">
        <v>884</v>
      </c>
      <c r="C270" t="s">
        <v>885</v>
      </c>
      <c r="D270" t="s">
        <v>886</v>
      </c>
      <c r="E270" t="s">
        <v>895</v>
      </c>
      <c r="F270" s="6">
        <v>44155</v>
      </c>
      <c r="G270">
        <v>72</v>
      </c>
      <c r="H270" s="6">
        <v>46346</v>
      </c>
      <c r="I270" t="s">
        <v>888</v>
      </c>
    </row>
    <row r="271" spans="1:9" x14ac:dyDescent="0.3">
      <c r="A271" t="s">
        <v>1165</v>
      </c>
      <c r="B271" t="s">
        <v>884</v>
      </c>
      <c r="C271" t="s">
        <v>885</v>
      </c>
      <c r="D271" t="s">
        <v>886</v>
      </c>
      <c r="E271" t="s">
        <v>895</v>
      </c>
      <c r="F271" s="6">
        <v>44155</v>
      </c>
      <c r="G271">
        <v>72</v>
      </c>
      <c r="H271" s="6">
        <v>46346</v>
      </c>
      <c r="I271" t="s">
        <v>888</v>
      </c>
    </row>
    <row r="272" spans="1:9" x14ac:dyDescent="0.3">
      <c r="A272" t="s">
        <v>1166</v>
      </c>
      <c r="B272" t="s">
        <v>884</v>
      </c>
      <c r="C272" t="s">
        <v>885</v>
      </c>
      <c r="D272" t="s">
        <v>886</v>
      </c>
      <c r="E272" t="s">
        <v>895</v>
      </c>
      <c r="F272" s="6">
        <v>44155</v>
      </c>
      <c r="G272">
        <v>72</v>
      </c>
      <c r="H272" s="6">
        <v>46346</v>
      </c>
      <c r="I272" t="s">
        <v>888</v>
      </c>
    </row>
    <row r="273" spans="1:9" x14ac:dyDescent="0.3">
      <c r="A273" t="s">
        <v>1167</v>
      </c>
      <c r="B273" t="s">
        <v>884</v>
      </c>
      <c r="C273" t="s">
        <v>885</v>
      </c>
      <c r="D273" t="s">
        <v>886</v>
      </c>
      <c r="E273" t="s">
        <v>895</v>
      </c>
      <c r="F273" s="6">
        <v>44155</v>
      </c>
      <c r="G273">
        <v>72</v>
      </c>
      <c r="H273" s="6">
        <v>46346</v>
      </c>
      <c r="I273" t="s">
        <v>888</v>
      </c>
    </row>
    <row r="274" spans="1:9" x14ac:dyDescent="0.3">
      <c r="A274" t="s">
        <v>1168</v>
      </c>
      <c r="B274" t="s">
        <v>884</v>
      </c>
      <c r="C274" t="s">
        <v>885</v>
      </c>
      <c r="D274" t="s">
        <v>886</v>
      </c>
      <c r="E274" t="s">
        <v>895</v>
      </c>
      <c r="F274" s="6">
        <v>44155</v>
      </c>
      <c r="G274">
        <v>72</v>
      </c>
      <c r="H274" s="6">
        <v>46346</v>
      </c>
      <c r="I274" t="s">
        <v>888</v>
      </c>
    </row>
    <row r="275" spans="1:9" x14ac:dyDescent="0.3">
      <c r="A275" t="s">
        <v>1169</v>
      </c>
      <c r="B275" t="s">
        <v>884</v>
      </c>
      <c r="C275" t="s">
        <v>885</v>
      </c>
      <c r="D275" t="s">
        <v>886</v>
      </c>
      <c r="E275" t="s">
        <v>895</v>
      </c>
      <c r="F275" s="6">
        <v>44155</v>
      </c>
      <c r="G275">
        <v>72</v>
      </c>
      <c r="H275" s="6">
        <v>46346</v>
      </c>
      <c r="I275" t="s">
        <v>888</v>
      </c>
    </row>
    <row r="276" spans="1:9" x14ac:dyDescent="0.3">
      <c r="A276" t="s">
        <v>1170</v>
      </c>
      <c r="B276" t="s">
        <v>884</v>
      </c>
      <c r="C276" t="s">
        <v>885</v>
      </c>
      <c r="D276" t="s">
        <v>886</v>
      </c>
      <c r="E276" t="s">
        <v>895</v>
      </c>
      <c r="F276" s="6">
        <v>44155</v>
      </c>
      <c r="G276">
        <v>72</v>
      </c>
      <c r="H276" s="6">
        <v>46346</v>
      </c>
      <c r="I276" t="s">
        <v>888</v>
      </c>
    </row>
    <row r="277" spans="1:9" x14ac:dyDescent="0.3">
      <c r="A277" t="s">
        <v>1171</v>
      </c>
      <c r="B277" t="s">
        <v>884</v>
      </c>
      <c r="C277" t="s">
        <v>885</v>
      </c>
      <c r="D277" t="s">
        <v>886</v>
      </c>
      <c r="E277" t="s">
        <v>895</v>
      </c>
      <c r="F277" s="6">
        <v>44155</v>
      </c>
      <c r="G277">
        <v>72</v>
      </c>
      <c r="H277" s="6">
        <v>46346</v>
      </c>
      <c r="I277" t="s">
        <v>888</v>
      </c>
    </row>
    <row r="278" spans="1:9" x14ac:dyDescent="0.3">
      <c r="A278" t="s">
        <v>1172</v>
      </c>
      <c r="B278" t="s">
        <v>884</v>
      </c>
      <c r="C278" t="s">
        <v>885</v>
      </c>
      <c r="D278" t="s">
        <v>886</v>
      </c>
      <c r="E278" t="s">
        <v>895</v>
      </c>
      <c r="F278" s="6">
        <v>44155</v>
      </c>
      <c r="G278">
        <v>72</v>
      </c>
      <c r="H278" s="6">
        <v>46346</v>
      </c>
      <c r="I278" t="s">
        <v>888</v>
      </c>
    </row>
    <row r="279" spans="1:9" x14ac:dyDescent="0.3">
      <c r="A279" t="s">
        <v>1173</v>
      </c>
      <c r="B279" t="s">
        <v>884</v>
      </c>
      <c r="C279" t="s">
        <v>885</v>
      </c>
      <c r="D279" t="s">
        <v>886</v>
      </c>
      <c r="E279" t="s">
        <v>895</v>
      </c>
      <c r="F279" s="6">
        <v>44155</v>
      </c>
      <c r="G279">
        <v>72</v>
      </c>
      <c r="H279" s="6">
        <v>46346</v>
      </c>
      <c r="I279" t="s">
        <v>888</v>
      </c>
    </row>
    <row r="280" spans="1:9" x14ac:dyDescent="0.3">
      <c r="A280" t="s">
        <v>1174</v>
      </c>
      <c r="B280" t="s">
        <v>884</v>
      </c>
      <c r="C280" t="s">
        <v>885</v>
      </c>
      <c r="D280" t="s">
        <v>886</v>
      </c>
      <c r="E280" t="s">
        <v>895</v>
      </c>
      <c r="F280" s="6">
        <v>44155</v>
      </c>
      <c r="G280">
        <v>72</v>
      </c>
      <c r="H280" s="6">
        <v>46346</v>
      </c>
      <c r="I280" t="s">
        <v>888</v>
      </c>
    </row>
    <row r="281" spans="1:9" x14ac:dyDescent="0.3">
      <c r="A281" t="s">
        <v>1175</v>
      </c>
      <c r="B281" t="s">
        <v>884</v>
      </c>
      <c r="C281" t="s">
        <v>885</v>
      </c>
      <c r="D281" t="s">
        <v>886</v>
      </c>
      <c r="E281" t="s">
        <v>895</v>
      </c>
      <c r="F281" s="6">
        <v>44155</v>
      </c>
      <c r="G281">
        <v>72</v>
      </c>
      <c r="H281" s="6">
        <v>46346</v>
      </c>
      <c r="I281" t="s">
        <v>888</v>
      </c>
    </row>
    <row r="282" spans="1:9" x14ac:dyDescent="0.3">
      <c r="A282" t="s">
        <v>1176</v>
      </c>
      <c r="B282" t="s">
        <v>884</v>
      </c>
      <c r="C282" t="s">
        <v>885</v>
      </c>
      <c r="D282" t="s">
        <v>886</v>
      </c>
      <c r="E282" t="s">
        <v>895</v>
      </c>
      <c r="F282" s="6">
        <v>44155</v>
      </c>
      <c r="G282">
        <v>72</v>
      </c>
      <c r="H282" s="6">
        <v>46346</v>
      </c>
      <c r="I282" t="s">
        <v>888</v>
      </c>
    </row>
    <row r="283" spans="1:9" x14ac:dyDescent="0.3">
      <c r="A283" t="s">
        <v>1177</v>
      </c>
      <c r="B283" t="s">
        <v>884</v>
      </c>
      <c r="C283" t="s">
        <v>885</v>
      </c>
      <c r="D283" t="s">
        <v>886</v>
      </c>
      <c r="E283" t="s">
        <v>895</v>
      </c>
      <c r="F283" s="6">
        <v>44155</v>
      </c>
      <c r="G283">
        <v>72</v>
      </c>
      <c r="H283" s="6">
        <v>46346</v>
      </c>
      <c r="I283" t="s">
        <v>888</v>
      </c>
    </row>
    <row r="284" spans="1:9" x14ac:dyDescent="0.3">
      <c r="A284" t="s">
        <v>1178</v>
      </c>
      <c r="B284" t="s">
        <v>884</v>
      </c>
      <c r="C284" t="s">
        <v>885</v>
      </c>
      <c r="D284" t="s">
        <v>886</v>
      </c>
      <c r="E284" t="s">
        <v>895</v>
      </c>
      <c r="F284" s="6">
        <v>44155</v>
      </c>
      <c r="G284">
        <v>72</v>
      </c>
      <c r="H284" s="6">
        <v>46346</v>
      </c>
      <c r="I284" t="s">
        <v>888</v>
      </c>
    </row>
    <row r="285" spans="1:9" x14ac:dyDescent="0.3">
      <c r="A285" t="s">
        <v>1179</v>
      </c>
      <c r="B285" t="s">
        <v>884</v>
      </c>
      <c r="C285" t="s">
        <v>885</v>
      </c>
      <c r="D285" t="s">
        <v>904</v>
      </c>
      <c r="E285" t="s">
        <v>895</v>
      </c>
      <c r="F285" s="6">
        <v>44155</v>
      </c>
      <c r="G285">
        <v>72</v>
      </c>
      <c r="H285" s="6">
        <v>46346</v>
      </c>
      <c r="I285" t="s">
        <v>888</v>
      </c>
    </row>
    <row r="286" spans="1:9" x14ac:dyDescent="0.3">
      <c r="A286" t="s">
        <v>1180</v>
      </c>
      <c r="B286" t="s">
        <v>884</v>
      </c>
      <c r="C286" t="s">
        <v>885</v>
      </c>
      <c r="D286" t="s">
        <v>904</v>
      </c>
      <c r="E286" t="s">
        <v>895</v>
      </c>
      <c r="F286" s="6">
        <v>44155</v>
      </c>
      <c r="G286">
        <v>72</v>
      </c>
      <c r="H286" s="6">
        <v>46346</v>
      </c>
      <c r="I286" t="s">
        <v>888</v>
      </c>
    </row>
    <row r="287" spans="1:9" x14ac:dyDescent="0.3">
      <c r="A287" t="s">
        <v>1181</v>
      </c>
      <c r="B287" t="s">
        <v>884</v>
      </c>
      <c r="C287" t="s">
        <v>885</v>
      </c>
      <c r="D287" t="s">
        <v>904</v>
      </c>
      <c r="E287" t="s">
        <v>895</v>
      </c>
      <c r="F287" s="6">
        <v>44155</v>
      </c>
      <c r="G287">
        <v>72</v>
      </c>
      <c r="H287" s="6">
        <v>46346</v>
      </c>
      <c r="I287" t="s">
        <v>888</v>
      </c>
    </row>
    <row r="288" spans="1:9" x14ac:dyDescent="0.3">
      <c r="A288" t="s">
        <v>1182</v>
      </c>
      <c r="B288" t="s">
        <v>884</v>
      </c>
      <c r="C288" t="s">
        <v>885</v>
      </c>
      <c r="D288" t="s">
        <v>904</v>
      </c>
      <c r="E288" t="s">
        <v>895</v>
      </c>
      <c r="F288" s="6">
        <v>44155</v>
      </c>
      <c r="G288">
        <v>72</v>
      </c>
      <c r="H288" s="6">
        <v>46346</v>
      </c>
      <c r="I288" t="s">
        <v>888</v>
      </c>
    </row>
    <row r="289" spans="1:9" x14ac:dyDescent="0.3">
      <c r="A289" t="s">
        <v>1183</v>
      </c>
      <c r="B289" t="s">
        <v>884</v>
      </c>
      <c r="C289" t="s">
        <v>885</v>
      </c>
      <c r="D289" t="s">
        <v>904</v>
      </c>
      <c r="E289" t="s">
        <v>895</v>
      </c>
      <c r="F289" s="6">
        <v>44155</v>
      </c>
      <c r="G289">
        <v>72</v>
      </c>
      <c r="H289" s="6">
        <v>46346</v>
      </c>
      <c r="I289" t="s">
        <v>888</v>
      </c>
    </row>
    <row r="290" spans="1:9" x14ac:dyDescent="0.3">
      <c r="A290" t="s">
        <v>1184</v>
      </c>
      <c r="B290" t="s">
        <v>884</v>
      </c>
      <c r="C290" t="s">
        <v>885</v>
      </c>
      <c r="D290" t="s">
        <v>904</v>
      </c>
      <c r="E290" t="s">
        <v>895</v>
      </c>
      <c r="F290" s="6">
        <v>44155</v>
      </c>
      <c r="G290">
        <v>72</v>
      </c>
      <c r="H290" s="6">
        <v>46346</v>
      </c>
      <c r="I290" t="s">
        <v>888</v>
      </c>
    </row>
    <row r="291" spans="1:9" x14ac:dyDescent="0.3">
      <c r="A291" t="s">
        <v>1185</v>
      </c>
      <c r="B291" t="s">
        <v>884</v>
      </c>
      <c r="C291" t="s">
        <v>885</v>
      </c>
      <c r="D291" t="s">
        <v>904</v>
      </c>
      <c r="E291" t="s">
        <v>895</v>
      </c>
      <c r="F291" s="6">
        <v>44155</v>
      </c>
      <c r="G291">
        <v>72</v>
      </c>
      <c r="H291" s="6">
        <v>46346</v>
      </c>
      <c r="I291" t="s">
        <v>888</v>
      </c>
    </row>
    <row r="292" spans="1:9" x14ac:dyDescent="0.3">
      <c r="A292" t="s">
        <v>1186</v>
      </c>
      <c r="B292" t="s">
        <v>884</v>
      </c>
      <c r="C292" t="s">
        <v>885</v>
      </c>
      <c r="D292" t="s">
        <v>904</v>
      </c>
      <c r="E292" t="s">
        <v>895</v>
      </c>
      <c r="F292" s="6">
        <v>44155</v>
      </c>
      <c r="G292">
        <v>72</v>
      </c>
      <c r="H292" s="6">
        <v>46346</v>
      </c>
      <c r="I292" t="s">
        <v>888</v>
      </c>
    </row>
    <row r="293" spans="1:9" x14ac:dyDescent="0.3">
      <c r="A293" t="s">
        <v>1187</v>
      </c>
      <c r="B293" t="s">
        <v>884</v>
      </c>
      <c r="C293" t="s">
        <v>885</v>
      </c>
      <c r="D293" t="s">
        <v>904</v>
      </c>
      <c r="E293" t="s">
        <v>895</v>
      </c>
      <c r="F293" s="6">
        <v>44155</v>
      </c>
      <c r="G293">
        <v>72</v>
      </c>
      <c r="H293" s="6">
        <v>46346</v>
      </c>
      <c r="I293" t="s">
        <v>888</v>
      </c>
    </row>
    <row r="294" spans="1:9" x14ac:dyDescent="0.3">
      <c r="A294" t="s">
        <v>1188</v>
      </c>
      <c r="B294" t="s">
        <v>884</v>
      </c>
      <c r="C294" t="s">
        <v>885</v>
      </c>
      <c r="D294" t="s">
        <v>909</v>
      </c>
      <c r="E294" t="s">
        <v>895</v>
      </c>
      <c r="F294" s="6">
        <v>44155</v>
      </c>
      <c r="G294">
        <v>72</v>
      </c>
      <c r="H294" s="6">
        <v>46346</v>
      </c>
      <c r="I294" t="s">
        <v>888</v>
      </c>
    </row>
    <row r="295" spans="1:9" x14ac:dyDescent="0.3">
      <c r="A295" t="s">
        <v>1189</v>
      </c>
      <c r="B295" t="s">
        <v>884</v>
      </c>
      <c r="C295" t="s">
        <v>885</v>
      </c>
      <c r="D295" t="s">
        <v>909</v>
      </c>
      <c r="E295" t="s">
        <v>895</v>
      </c>
      <c r="F295" s="6">
        <v>44155</v>
      </c>
      <c r="G295">
        <v>72</v>
      </c>
      <c r="H295" s="6">
        <v>46346</v>
      </c>
      <c r="I295" t="s">
        <v>888</v>
      </c>
    </row>
    <row r="296" spans="1:9" x14ac:dyDescent="0.3">
      <c r="A296" t="s">
        <v>1190</v>
      </c>
      <c r="B296" t="s">
        <v>884</v>
      </c>
      <c r="C296" t="s">
        <v>885</v>
      </c>
      <c r="D296" t="s">
        <v>909</v>
      </c>
      <c r="E296" t="s">
        <v>895</v>
      </c>
      <c r="F296" s="6">
        <v>44155</v>
      </c>
      <c r="G296">
        <v>72</v>
      </c>
      <c r="H296" s="6">
        <v>46346</v>
      </c>
      <c r="I296" t="s">
        <v>888</v>
      </c>
    </row>
    <row r="297" spans="1:9" x14ac:dyDescent="0.3">
      <c r="A297" t="s">
        <v>1191</v>
      </c>
      <c r="B297" t="s">
        <v>884</v>
      </c>
      <c r="C297" t="s">
        <v>885</v>
      </c>
      <c r="D297" t="s">
        <v>909</v>
      </c>
      <c r="E297" t="s">
        <v>895</v>
      </c>
      <c r="F297" s="6">
        <v>44155</v>
      </c>
      <c r="G297">
        <v>72</v>
      </c>
      <c r="H297" s="6">
        <v>46346</v>
      </c>
      <c r="I297" t="s">
        <v>888</v>
      </c>
    </row>
    <row r="298" spans="1:9" x14ac:dyDescent="0.3">
      <c r="A298" t="s">
        <v>1192</v>
      </c>
      <c r="B298" t="s">
        <v>884</v>
      </c>
      <c r="C298" t="s">
        <v>885</v>
      </c>
      <c r="D298" t="s">
        <v>909</v>
      </c>
      <c r="E298" t="s">
        <v>895</v>
      </c>
      <c r="F298" s="6">
        <v>44155</v>
      </c>
      <c r="G298">
        <v>72</v>
      </c>
      <c r="H298" s="6">
        <v>46346</v>
      </c>
      <c r="I298" t="s">
        <v>888</v>
      </c>
    </row>
    <row r="299" spans="1:9" x14ac:dyDescent="0.3">
      <c r="A299" t="s">
        <v>1193</v>
      </c>
      <c r="B299" t="s">
        <v>884</v>
      </c>
      <c r="C299" t="s">
        <v>885</v>
      </c>
      <c r="D299" t="s">
        <v>909</v>
      </c>
      <c r="E299" t="s">
        <v>895</v>
      </c>
      <c r="F299" s="6">
        <v>44155</v>
      </c>
      <c r="G299">
        <v>72</v>
      </c>
      <c r="H299" s="6">
        <v>46346</v>
      </c>
      <c r="I299" t="s">
        <v>888</v>
      </c>
    </row>
    <row r="300" spans="1:9" x14ac:dyDescent="0.3">
      <c r="A300" t="s">
        <v>1194</v>
      </c>
      <c r="B300" t="s">
        <v>884</v>
      </c>
      <c r="C300" t="s">
        <v>885</v>
      </c>
      <c r="D300" t="s">
        <v>909</v>
      </c>
      <c r="E300" t="s">
        <v>895</v>
      </c>
      <c r="F300" s="6">
        <v>44155</v>
      </c>
      <c r="G300">
        <v>72</v>
      </c>
      <c r="H300" s="6">
        <v>46346</v>
      </c>
      <c r="I300" t="s">
        <v>888</v>
      </c>
    </row>
    <row r="301" spans="1:9" x14ac:dyDescent="0.3">
      <c r="A301" t="s">
        <v>1195</v>
      </c>
      <c r="B301" t="s">
        <v>884</v>
      </c>
      <c r="C301" t="s">
        <v>885</v>
      </c>
      <c r="D301" t="s">
        <v>909</v>
      </c>
      <c r="E301" t="s">
        <v>895</v>
      </c>
      <c r="F301" s="6">
        <v>44155</v>
      </c>
      <c r="G301">
        <v>72</v>
      </c>
      <c r="H301" s="6">
        <v>46346</v>
      </c>
      <c r="I301" t="s">
        <v>888</v>
      </c>
    </row>
    <row r="302" spans="1:9" x14ac:dyDescent="0.3">
      <c r="A302" t="s">
        <v>1196</v>
      </c>
      <c r="B302" t="s">
        <v>884</v>
      </c>
      <c r="C302" t="s">
        <v>885</v>
      </c>
      <c r="D302" t="s">
        <v>893</v>
      </c>
      <c r="E302" t="s">
        <v>895</v>
      </c>
      <c r="F302" s="6">
        <v>44155</v>
      </c>
      <c r="G302">
        <v>72</v>
      </c>
      <c r="H302" s="6">
        <v>46346</v>
      </c>
      <c r="I302" t="s">
        <v>888</v>
      </c>
    </row>
    <row r="303" spans="1:9" x14ac:dyDescent="0.3">
      <c r="A303" t="s">
        <v>1197</v>
      </c>
      <c r="B303" t="s">
        <v>884</v>
      </c>
      <c r="C303" t="s">
        <v>885</v>
      </c>
      <c r="D303" t="s">
        <v>893</v>
      </c>
      <c r="E303" t="s">
        <v>895</v>
      </c>
      <c r="F303" s="6">
        <v>44155</v>
      </c>
      <c r="G303">
        <v>72</v>
      </c>
      <c r="H303" s="6">
        <v>46346</v>
      </c>
      <c r="I303" t="s">
        <v>888</v>
      </c>
    </row>
    <row r="304" spans="1:9" x14ac:dyDescent="0.3">
      <c r="A304" t="s">
        <v>1198</v>
      </c>
      <c r="B304" t="s">
        <v>884</v>
      </c>
      <c r="C304" t="s">
        <v>885</v>
      </c>
      <c r="D304" t="s">
        <v>893</v>
      </c>
      <c r="E304" t="s">
        <v>895</v>
      </c>
      <c r="F304" s="6">
        <v>44155</v>
      </c>
      <c r="G304">
        <v>72</v>
      </c>
      <c r="H304" s="6">
        <v>46346</v>
      </c>
      <c r="I304" t="s">
        <v>888</v>
      </c>
    </row>
    <row r="305" spans="1:9" x14ac:dyDescent="0.3">
      <c r="A305" t="s">
        <v>1199</v>
      </c>
      <c r="B305" t="s">
        <v>884</v>
      </c>
      <c r="C305" t="s">
        <v>885</v>
      </c>
      <c r="D305" t="s">
        <v>893</v>
      </c>
      <c r="E305" t="s">
        <v>895</v>
      </c>
      <c r="F305" s="6">
        <v>44155</v>
      </c>
      <c r="G305">
        <v>72</v>
      </c>
      <c r="H305" s="6">
        <v>46346</v>
      </c>
      <c r="I305" t="s">
        <v>888</v>
      </c>
    </row>
    <row r="306" spans="1:9" x14ac:dyDescent="0.3">
      <c r="A306" t="s">
        <v>1200</v>
      </c>
      <c r="B306" t="s">
        <v>884</v>
      </c>
      <c r="C306" t="s">
        <v>885</v>
      </c>
      <c r="D306" t="s">
        <v>893</v>
      </c>
      <c r="E306" t="s">
        <v>895</v>
      </c>
      <c r="F306" s="6">
        <v>44155</v>
      </c>
      <c r="G306">
        <v>72</v>
      </c>
      <c r="H306" s="6">
        <v>46346</v>
      </c>
      <c r="I306" t="s">
        <v>888</v>
      </c>
    </row>
    <row r="307" spans="1:9" x14ac:dyDescent="0.3">
      <c r="A307" t="s">
        <v>1201</v>
      </c>
      <c r="B307" t="s">
        <v>884</v>
      </c>
      <c r="C307" t="s">
        <v>885</v>
      </c>
      <c r="D307" t="s">
        <v>893</v>
      </c>
      <c r="E307" t="s">
        <v>895</v>
      </c>
      <c r="F307" s="6">
        <v>44155</v>
      </c>
      <c r="G307">
        <v>72</v>
      </c>
      <c r="H307" s="6">
        <v>46346</v>
      </c>
      <c r="I307" t="s">
        <v>888</v>
      </c>
    </row>
    <row r="308" spans="1:9" x14ac:dyDescent="0.3">
      <c r="A308" t="s">
        <v>1202</v>
      </c>
      <c r="B308" t="s">
        <v>884</v>
      </c>
      <c r="C308" t="s">
        <v>885</v>
      </c>
      <c r="D308" t="s">
        <v>893</v>
      </c>
      <c r="E308" t="s">
        <v>895</v>
      </c>
      <c r="F308" s="6">
        <v>44155</v>
      </c>
      <c r="G308">
        <v>72</v>
      </c>
      <c r="H308" s="6">
        <v>46346</v>
      </c>
      <c r="I308" t="s">
        <v>888</v>
      </c>
    </row>
    <row r="309" spans="1:9" x14ac:dyDescent="0.3">
      <c r="A309" t="s">
        <v>1203</v>
      </c>
      <c r="B309" t="s">
        <v>884</v>
      </c>
      <c r="C309" t="s">
        <v>885</v>
      </c>
      <c r="D309" t="s">
        <v>893</v>
      </c>
      <c r="E309" t="s">
        <v>895</v>
      </c>
      <c r="F309" s="6">
        <v>44155</v>
      </c>
      <c r="G309">
        <v>72</v>
      </c>
      <c r="H309" s="6">
        <v>46346</v>
      </c>
      <c r="I309" t="s">
        <v>888</v>
      </c>
    </row>
    <row r="310" spans="1:9" x14ac:dyDescent="0.3">
      <c r="A310" t="s">
        <v>1204</v>
      </c>
      <c r="B310" t="s">
        <v>884</v>
      </c>
      <c r="C310" t="s">
        <v>885</v>
      </c>
      <c r="D310" t="s">
        <v>893</v>
      </c>
      <c r="E310" t="s">
        <v>895</v>
      </c>
      <c r="F310" s="6">
        <v>44155</v>
      </c>
      <c r="G310">
        <v>72</v>
      </c>
      <c r="H310" s="6">
        <v>46346</v>
      </c>
      <c r="I310" t="s">
        <v>888</v>
      </c>
    </row>
    <row r="311" spans="1:9" x14ac:dyDescent="0.3">
      <c r="A311" t="s">
        <v>1205</v>
      </c>
      <c r="B311" t="s">
        <v>884</v>
      </c>
      <c r="C311" t="s">
        <v>885</v>
      </c>
      <c r="D311" t="s">
        <v>893</v>
      </c>
      <c r="E311" t="s">
        <v>895</v>
      </c>
      <c r="F311" s="6">
        <v>44155</v>
      </c>
      <c r="G311">
        <v>72</v>
      </c>
      <c r="H311" s="6">
        <v>46346</v>
      </c>
      <c r="I311" t="s">
        <v>888</v>
      </c>
    </row>
    <row r="312" spans="1:9" x14ac:dyDescent="0.3">
      <c r="A312" t="s">
        <v>1206</v>
      </c>
      <c r="B312" t="s">
        <v>884</v>
      </c>
      <c r="C312" t="s">
        <v>885</v>
      </c>
      <c r="D312" t="s">
        <v>893</v>
      </c>
      <c r="E312" t="s">
        <v>895</v>
      </c>
      <c r="F312" s="6">
        <v>44155</v>
      </c>
      <c r="G312">
        <v>72</v>
      </c>
      <c r="H312" s="6">
        <v>46346</v>
      </c>
      <c r="I312" t="s">
        <v>888</v>
      </c>
    </row>
    <row r="313" spans="1:9" x14ac:dyDescent="0.3">
      <c r="A313" t="s">
        <v>1207</v>
      </c>
      <c r="B313" t="s">
        <v>884</v>
      </c>
      <c r="C313" t="s">
        <v>885</v>
      </c>
      <c r="D313" t="s">
        <v>893</v>
      </c>
      <c r="E313" t="s">
        <v>895</v>
      </c>
      <c r="F313" s="6">
        <v>44155</v>
      </c>
      <c r="G313">
        <v>72</v>
      </c>
      <c r="H313" s="6">
        <v>46346</v>
      </c>
      <c r="I313" t="s">
        <v>888</v>
      </c>
    </row>
    <row r="314" spans="1:9" x14ac:dyDescent="0.3">
      <c r="A314" t="s">
        <v>1208</v>
      </c>
      <c r="B314" t="s">
        <v>884</v>
      </c>
      <c r="C314" t="s">
        <v>885</v>
      </c>
      <c r="D314" t="s">
        <v>893</v>
      </c>
      <c r="E314" t="s">
        <v>895</v>
      </c>
      <c r="F314" s="6">
        <v>44155</v>
      </c>
      <c r="G314">
        <v>72</v>
      </c>
      <c r="H314" s="6">
        <v>46346</v>
      </c>
      <c r="I314" t="s">
        <v>888</v>
      </c>
    </row>
    <row r="315" spans="1:9" x14ac:dyDescent="0.3">
      <c r="A315" t="s">
        <v>1209</v>
      </c>
      <c r="B315" t="s">
        <v>884</v>
      </c>
      <c r="C315" t="s">
        <v>885</v>
      </c>
      <c r="D315" t="s">
        <v>893</v>
      </c>
      <c r="E315" t="s">
        <v>895</v>
      </c>
      <c r="F315" s="6">
        <v>44155</v>
      </c>
      <c r="G315">
        <v>72</v>
      </c>
      <c r="H315" s="6">
        <v>46346</v>
      </c>
      <c r="I315" t="s">
        <v>888</v>
      </c>
    </row>
    <row r="316" spans="1:9" x14ac:dyDescent="0.3">
      <c r="A316" t="s">
        <v>1210</v>
      </c>
      <c r="B316" t="s">
        <v>884</v>
      </c>
      <c r="C316" t="s">
        <v>885</v>
      </c>
      <c r="D316" t="s">
        <v>893</v>
      </c>
      <c r="E316" t="s">
        <v>895</v>
      </c>
      <c r="F316" s="6">
        <v>44155</v>
      </c>
      <c r="G316">
        <v>72</v>
      </c>
      <c r="H316" s="6">
        <v>46346</v>
      </c>
      <c r="I316" t="s">
        <v>888</v>
      </c>
    </row>
    <row r="317" spans="1:9" x14ac:dyDescent="0.3">
      <c r="A317" t="s">
        <v>1211</v>
      </c>
      <c r="B317" t="s">
        <v>884</v>
      </c>
      <c r="C317" t="s">
        <v>885</v>
      </c>
      <c r="D317" t="s">
        <v>893</v>
      </c>
      <c r="E317" t="s">
        <v>895</v>
      </c>
      <c r="F317" s="6">
        <v>44155</v>
      </c>
      <c r="G317">
        <v>72</v>
      </c>
      <c r="H317" s="6">
        <v>46346</v>
      </c>
      <c r="I317" t="s">
        <v>888</v>
      </c>
    </row>
    <row r="318" spans="1:9" x14ac:dyDescent="0.3">
      <c r="A318" t="s">
        <v>1212</v>
      </c>
      <c r="B318" t="s">
        <v>884</v>
      </c>
      <c r="C318" t="s">
        <v>885</v>
      </c>
      <c r="D318" t="s">
        <v>893</v>
      </c>
      <c r="E318" t="s">
        <v>895</v>
      </c>
      <c r="F318" s="6">
        <v>44155</v>
      </c>
      <c r="G318">
        <v>72</v>
      </c>
      <c r="H318" s="6">
        <v>46346</v>
      </c>
      <c r="I318" t="s">
        <v>888</v>
      </c>
    </row>
    <row r="319" spans="1:9" x14ac:dyDescent="0.3">
      <c r="A319" t="s">
        <v>1213</v>
      </c>
      <c r="B319" t="s">
        <v>884</v>
      </c>
      <c r="C319" t="s">
        <v>885</v>
      </c>
      <c r="D319" t="s">
        <v>893</v>
      </c>
      <c r="E319" t="s">
        <v>895</v>
      </c>
      <c r="F319" s="6">
        <v>44155</v>
      </c>
      <c r="G319">
        <v>72</v>
      </c>
      <c r="H319" s="6">
        <v>46346</v>
      </c>
      <c r="I319" t="s">
        <v>888</v>
      </c>
    </row>
    <row r="320" spans="1:9" x14ac:dyDescent="0.3">
      <c r="A320" t="s">
        <v>1214</v>
      </c>
      <c r="B320" t="s">
        <v>884</v>
      </c>
      <c r="C320" t="s">
        <v>885</v>
      </c>
      <c r="D320" t="s">
        <v>893</v>
      </c>
      <c r="E320" t="s">
        <v>895</v>
      </c>
      <c r="F320" s="6">
        <v>44155</v>
      </c>
      <c r="G320">
        <v>72</v>
      </c>
      <c r="H320" s="6">
        <v>46346</v>
      </c>
      <c r="I320" t="s">
        <v>888</v>
      </c>
    </row>
    <row r="321" spans="1:9" x14ac:dyDescent="0.3">
      <c r="A321" t="s">
        <v>1215</v>
      </c>
      <c r="B321" t="s">
        <v>884</v>
      </c>
      <c r="C321" t="s">
        <v>885</v>
      </c>
      <c r="D321" t="s">
        <v>893</v>
      </c>
      <c r="E321" t="s">
        <v>895</v>
      </c>
      <c r="F321" s="6">
        <v>44155</v>
      </c>
      <c r="G321">
        <v>72</v>
      </c>
      <c r="H321" s="6">
        <v>46346</v>
      </c>
      <c r="I321" t="s">
        <v>888</v>
      </c>
    </row>
    <row r="322" spans="1:9" x14ac:dyDescent="0.3">
      <c r="A322" t="s">
        <v>1216</v>
      </c>
      <c r="B322" t="s">
        <v>884</v>
      </c>
      <c r="C322" t="s">
        <v>885</v>
      </c>
      <c r="D322" t="s">
        <v>893</v>
      </c>
      <c r="E322" t="s">
        <v>895</v>
      </c>
      <c r="F322" s="6">
        <v>44155</v>
      </c>
      <c r="G322">
        <v>72</v>
      </c>
      <c r="H322" s="6">
        <v>46346</v>
      </c>
      <c r="I322" t="s">
        <v>888</v>
      </c>
    </row>
    <row r="323" spans="1:9" x14ac:dyDescent="0.3">
      <c r="A323" t="s">
        <v>1217</v>
      </c>
      <c r="B323" t="s">
        <v>884</v>
      </c>
      <c r="C323" t="s">
        <v>885</v>
      </c>
      <c r="D323" t="s">
        <v>893</v>
      </c>
      <c r="E323" t="s">
        <v>895</v>
      </c>
      <c r="F323" s="6">
        <v>44155</v>
      </c>
      <c r="G323">
        <v>72</v>
      </c>
      <c r="H323" s="6">
        <v>46346</v>
      </c>
      <c r="I323" t="s">
        <v>888</v>
      </c>
    </row>
    <row r="324" spans="1:9" x14ac:dyDescent="0.3">
      <c r="A324" t="s">
        <v>1218</v>
      </c>
      <c r="B324" t="s">
        <v>884</v>
      </c>
      <c r="C324" t="s">
        <v>885</v>
      </c>
      <c r="D324" t="s">
        <v>893</v>
      </c>
      <c r="E324" t="s">
        <v>895</v>
      </c>
      <c r="F324" s="6">
        <v>44155</v>
      </c>
      <c r="G324">
        <v>72</v>
      </c>
      <c r="H324" s="6">
        <v>46346</v>
      </c>
      <c r="I324" t="s">
        <v>888</v>
      </c>
    </row>
    <row r="325" spans="1:9" x14ac:dyDescent="0.3">
      <c r="A325" t="s">
        <v>1219</v>
      </c>
      <c r="B325" t="s">
        <v>884</v>
      </c>
      <c r="C325" t="s">
        <v>885</v>
      </c>
      <c r="D325" t="s">
        <v>893</v>
      </c>
      <c r="E325" t="s">
        <v>895</v>
      </c>
      <c r="F325" s="6">
        <v>44155</v>
      </c>
      <c r="G325">
        <v>72</v>
      </c>
      <c r="H325" s="6">
        <v>46346</v>
      </c>
      <c r="I325" t="s">
        <v>888</v>
      </c>
    </row>
    <row r="326" spans="1:9" x14ac:dyDescent="0.3">
      <c r="A326" t="s">
        <v>1220</v>
      </c>
      <c r="B326" t="s">
        <v>884</v>
      </c>
      <c r="C326" t="s">
        <v>885</v>
      </c>
      <c r="D326" t="s">
        <v>893</v>
      </c>
      <c r="E326" t="s">
        <v>895</v>
      </c>
      <c r="F326" s="6">
        <v>44155</v>
      </c>
      <c r="G326">
        <v>72</v>
      </c>
      <c r="H326" s="6">
        <v>46346</v>
      </c>
      <c r="I326" t="s">
        <v>888</v>
      </c>
    </row>
    <row r="327" spans="1:9" x14ac:dyDescent="0.3">
      <c r="A327" t="s">
        <v>1221</v>
      </c>
      <c r="B327" t="s">
        <v>884</v>
      </c>
      <c r="C327" t="s">
        <v>885</v>
      </c>
      <c r="D327" t="s">
        <v>893</v>
      </c>
      <c r="E327" t="s">
        <v>895</v>
      </c>
      <c r="F327" s="6">
        <v>44155</v>
      </c>
      <c r="G327">
        <v>72</v>
      </c>
      <c r="H327" s="6">
        <v>46346</v>
      </c>
      <c r="I327" t="s">
        <v>888</v>
      </c>
    </row>
    <row r="328" spans="1:9" x14ac:dyDescent="0.3">
      <c r="A328" t="s">
        <v>1222</v>
      </c>
      <c r="B328" t="s">
        <v>884</v>
      </c>
      <c r="C328" t="s">
        <v>885</v>
      </c>
      <c r="D328" t="s">
        <v>893</v>
      </c>
      <c r="E328" t="s">
        <v>895</v>
      </c>
      <c r="F328" s="6">
        <v>44155</v>
      </c>
      <c r="G328">
        <v>72</v>
      </c>
      <c r="H328" s="6">
        <v>46346</v>
      </c>
      <c r="I328" t="s">
        <v>888</v>
      </c>
    </row>
    <row r="329" spans="1:9" x14ac:dyDescent="0.3">
      <c r="A329" t="s">
        <v>1223</v>
      </c>
      <c r="B329" t="s">
        <v>884</v>
      </c>
      <c r="C329" t="s">
        <v>885</v>
      </c>
      <c r="D329" t="s">
        <v>893</v>
      </c>
      <c r="E329" t="s">
        <v>895</v>
      </c>
      <c r="F329" s="6">
        <v>44155</v>
      </c>
      <c r="G329">
        <v>72</v>
      </c>
      <c r="H329" s="6">
        <v>46346</v>
      </c>
      <c r="I329" t="s">
        <v>888</v>
      </c>
    </row>
    <row r="330" spans="1:9" x14ac:dyDescent="0.3">
      <c r="A330" t="s">
        <v>1224</v>
      </c>
      <c r="B330" t="s">
        <v>884</v>
      </c>
      <c r="C330" t="s">
        <v>885</v>
      </c>
      <c r="D330" t="s">
        <v>893</v>
      </c>
      <c r="E330" t="s">
        <v>895</v>
      </c>
      <c r="F330" s="6">
        <v>44155</v>
      </c>
      <c r="G330">
        <v>72</v>
      </c>
      <c r="H330" s="6">
        <v>46346</v>
      </c>
      <c r="I330" t="s">
        <v>888</v>
      </c>
    </row>
    <row r="331" spans="1:9" x14ac:dyDescent="0.3">
      <c r="A331" t="s">
        <v>1225</v>
      </c>
      <c r="B331" t="s">
        <v>884</v>
      </c>
      <c r="C331" t="s">
        <v>885</v>
      </c>
      <c r="D331" t="s">
        <v>893</v>
      </c>
      <c r="E331" t="s">
        <v>895</v>
      </c>
      <c r="F331" s="6">
        <v>44155</v>
      </c>
      <c r="G331">
        <v>72</v>
      </c>
      <c r="H331" s="6">
        <v>46346</v>
      </c>
      <c r="I331" t="s">
        <v>888</v>
      </c>
    </row>
    <row r="332" spans="1:9" x14ac:dyDescent="0.3">
      <c r="A332" t="s">
        <v>1226</v>
      </c>
      <c r="B332" t="s">
        <v>884</v>
      </c>
      <c r="C332" t="s">
        <v>885</v>
      </c>
      <c r="D332" t="s">
        <v>893</v>
      </c>
      <c r="E332" t="s">
        <v>895</v>
      </c>
      <c r="F332" s="6">
        <v>44155</v>
      </c>
      <c r="G332">
        <v>72</v>
      </c>
      <c r="H332" s="6">
        <v>46346</v>
      </c>
      <c r="I332" t="s">
        <v>888</v>
      </c>
    </row>
    <row r="333" spans="1:9" x14ac:dyDescent="0.3">
      <c r="A333" t="s">
        <v>1227</v>
      </c>
      <c r="B333" t="s">
        <v>884</v>
      </c>
      <c r="C333" t="s">
        <v>885</v>
      </c>
      <c r="D333" t="s">
        <v>893</v>
      </c>
      <c r="E333" t="s">
        <v>895</v>
      </c>
      <c r="F333" s="6">
        <v>44155</v>
      </c>
      <c r="G333">
        <v>72</v>
      </c>
      <c r="H333" s="6">
        <v>46346</v>
      </c>
      <c r="I333" t="s">
        <v>888</v>
      </c>
    </row>
    <row r="334" spans="1:9" x14ac:dyDescent="0.3">
      <c r="A334" t="s">
        <v>1228</v>
      </c>
      <c r="B334" t="s">
        <v>884</v>
      </c>
      <c r="C334" t="s">
        <v>885</v>
      </c>
      <c r="D334" t="s">
        <v>893</v>
      </c>
      <c r="E334" t="s">
        <v>895</v>
      </c>
      <c r="F334" s="6">
        <v>44155</v>
      </c>
      <c r="G334">
        <v>72</v>
      </c>
      <c r="H334" s="6">
        <v>46346</v>
      </c>
      <c r="I334" t="s">
        <v>888</v>
      </c>
    </row>
    <row r="335" spans="1:9" x14ac:dyDescent="0.3">
      <c r="A335" t="s">
        <v>1229</v>
      </c>
      <c r="B335" t="s">
        <v>884</v>
      </c>
      <c r="C335" t="s">
        <v>885</v>
      </c>
      <c r="D335" t="s">
        <v>893</v>
      </c>
      <c r="E335" t="s">
        <v>895</v>
      </c>
      <c r="F335" s="6">
        <v>44155</v>
      </c>
      <c r="G335">
        <v>72</v>
      </c>
      <c r="H335" s="6">
        <v>46346</v>
      </c>
      <c r="I335" t="s">
        <v>888</v>
      </c>
    </row>
    <row r="336" spans="1:9" x14ac:dyDescent="0.3">
      <c r="A336" t="s">
        <v>1230</v>
      </c>
      <c r="B336" t="s">
        <v>884</v>
      </c>
      <c r="C336" t="s">
        <v>885</v>
      </c>
      <c r="D336" t="s">
        <v>893</v>
      </c>
      <c r="E336" t="s">
        <v>895</v>
      </c>
      <c r="F336" s="6">
        <v>44155</v>
      </c>
      <c r="G336">
        <v>72</v>
      </c>
      <c r="H336" s="6">
        <v>46346</v>
      </c>
      <c r="I336" t="s">
        <v>888</v>
      </c>
    </row>
    <row r="337" spans="1:9" x14ac:dyDescent="0.3">
      <c r="A337" t="s">
        <v>1231</v>
      </c>
      <c r="B337" t="s">
        <v>884</v>
      </c>
      <c r="C337" t="s">
        <v>885</v>
      </c>
      <c r="D337" t="s">
        <v>893</v>
      </c>
      <c r="E337" t="s">
        <v>895</v>
      </c>
      <c r="F337" s="6">
        <v>44155</v>
      </c>
      <c r="G337">
        <v>72</v>
      </c>
      <c r="H337" s="6">
        <v>46346</v>
      </c>
      <c r="I337" t="s">
        <v>888</v>
      </c>
    </row>
    <row r="338" spans="1:9" x14ac:dyDescent="0.3">
      <c r="A338" t="s">
        <v>1232</v>
      </c>
      <c r="B338" t="s">
        <v>884</v>
      </c>
      <c r="C338" t="s">
        <v>885</v>
      </c>
      <c r="D338" t="s">
        <v>893</v>
      </c>
      <c r="E338" t="s">
        <v>895</v>
      </c>
      <c r="F338" s="6">
        <v>44155</v>
      </c>
      <c r="G338">
        <v>72</v>
      </c>
      <c r="H338" s="6">
        <v>46346</v>
      </c>
      <c r="I338" t="s">
        <v>888</v>
      </c>
    </row>
    <row r="339" spans="1:9" x14ac:dyDescent="0.3">
      <c r="A339" t="s">
        <v>1233</v>
      </c>
      <c r="B339" t="s">
        <v>884</v>
      </c>
      <c r="C339" t="s">
        <v>885</v>
      </c>
      <c r="D339" t="s">
        <v>893</v>
      </c>
      <c r="E339" t="s">
        <v>895</v>
      </c>
      <c r="F339" s="6">
        <v>44155</v>
      </c>
      <c r="G339">
        <v>72</v>
      </c>
      <c r="H339" s="6">
        <v>46346</v>
      </c>
      <c r="I339" t="s">
        <v>888</v>
      </c>
    </row>
    <row r="340" spans="1:9" x14ac:dyDescent="0.3">
      <c r="A340" t="s">
        <v>1234</v>
      </c>
      <c r="B340" t="s">
        <v>884</v>
      </c>
      <c r="C340" t="s">
        <v>885</v>
      </c>
      <c r="D340" t="s">
        <v>893</v>
      </c>
      <c r="E340" t="s">
        <v>895</v>
      </c>
      <c r="F340" s="6">
        <v>44155</v>
      </c>
      <c r="G340">
        <v>72</v>
      </c>
      <c r="H340" s="6">
        <v>46346</v>
      </c>
      <c r="I340" t="s">
        <v>888</v>
      </c>
    </row>
    <row r="341" spans="1:9" x14ac:dyDescent="0.3">
      <c r="A341" t="s">
        <v>1235</v>
      </c>
      <c r="B341" t="s">
        <v>884</v>
      </c>
      <c r="C341" t="s">
        <v>885</v>
      </c>
      <c r="D341" t="s">
        <v>893</v>
      </c>
      <c r="E341" t="s">
        <v>895</v>
      </c>
      <c r="F341" s="6">
        <v>44155</v>
      </c>
      <c r="G341">
        <v>72</v>
      </c>
      <c r="H341" s="6">
        <v>46346</v>
      </c>
      <c r="I341" t="s">
        <v>888</v>
      </c>
    </row>
    <row r="342" spans="1:9" x14ac:dyDescent="0.3">
      <c r="A342" t="s">
        <v>1236</v>
      </c>
      <c r="B342" t="s">
        <v>884</v>
      </c>
      <c r="C342" t="s">
        <v>885</v>
      </c>
      <c r="D342" t="s">
        <v>893</v>
      </c>
      <c r="E342" t="s">
        <v>895</v>
      </c>
      <c r="F342" s="6">
        <v>44155</v>
      </c>
      <c r="G342">
        <v>72</v>
      </c>
      <c r="H342" s="6">
        <v>46346</v>
      </c>
      <c r="I342" t="s">
        <v>888</v>
      </c>
    </row>
    <row r="343" spans="1:9" x14ac:dyDescent="0.3">
      <c r="A343" t="s">
        <v>1237</v>
      </c>
      <c r="B343" t="s">
        <v>884</v>
      </c>
      <c r="C343" t="s">
        <v>885</v>
      </c>
      <c r="D343" t="s">
        <v>893</v>
      </c>
      <c r="E343" t="s">
        <v>895</v>
      </c>
      <c r="F343" s="6">
        <v>44155</v>
      </c>
      <c r="G343">
        <v>72</v>
      </c>
      <c r="H343" s="6">
        <v>46346</v>
      </c>
      <c r="I343" t="s">
        <v>888</v>
      </c>
    </row>
    <row r="344" spans="1:9" x14ac:dyDescent="0.3">
      <c r="A344" t="s">
        <v>1238</v>
      </c>
      <c r="B344" t="s">
        <v>884</v>
      </c>
      <c r="C344" t="s">
        <v>885</v>
      </c>
      <c r="D344" t="s">
        <v>893</v>
      </c>
      <c r="E344" t="s">
        <v>895</v>
      </c>
      <c r="F344" s="6">
        <v>44155</v>
      </c>
      <c r="G344">
        <v>72</v>
      </c>
      <c r="H344" s="6">
        <v>46346</v>
      </c>
      <c r="I344" t="s">
        <v>888</v>
      </c>
    </row>
    <row r="345" spans="1:9" x14ac:dyDescent="0.3">
      <c r="A345" t="s">
        <v>1239</v>
      </c>
      <c r="B345" t="s">
        <v>884</v>
      </c>
      <c r="C345" t="s">
        <v>885</v>
      </c>
      <c r="D345" t="s">
        <v>893</v>
      </c>
      <c r="E345" t="s">
        <v>895</v>
      </c>
      <c r="F345" s="6">
        <v>44155</v>
      </c>
      <c r="G345">
        <v>72</v>
      </c>
      <c r="H345" s="6">
        <v>46346</v>
      </c>
      <c r="I345" t="s">
        <v>888</v>
      </c>
    </row>
    <row r="346" spans="1:9" x14ac:dyDescent="0.3">
      <c r="A346" t="s">
        <v>1240</v>
      </c>
      <c r="B346" t="s">
        <v>884</v>
      </c>
      <c r="C346" t="s">
        <v>885</v>
      </c>
      <c r="D346" t="s">
        <v>893</v>
      </c>
      <c r="E346" t="s">
        <v>895</v>
      </c>
      <c r="F346" s="6">
        <v>44155</v>
      </c>
      <c r="G346">
        <v>72</v>
      </c>
      <c r="H346" s="6">
        <v>46346</v>
      </c>
      <c r="I346" t="s">
        <v>888</v>
      </c>
    </row>
    <row r="347" spans="1:9" x14ac:dyDescent="0.3">
      <c r="A347" t="s">
        <v>1241</v>
      </c>
      <c r="B347" t="s">
        <v>884</v>
      </c>
      <c r="C347" t="s">
        <v>885</v>
      </c>
      <c r="D347" t="s">
        <v>893</v>
      </c>
      <c r="E347" t="s">
        <v>895</v>
      </c>
      <c r="F347" s="6">
        <v>44155</v>
      </c>
      <c r="G347">
        <v>72</v>
      </c>
      <c r="H347" s="6">
        <v>46346</v>
      </c>
      <c r="I347" t="s">
        <v>888</v>
      </c>
    </row>
    <row r="348" spans="1:9" x14ac:dyDescent="0.3">
      <c r="A348" t="s">
        <v>1242</v>
      </c>
      <c r="B348" t="s">
        <v>884</v>
      </c>
      <c r="C348" t="s">
        <v>885</v>
      </c>
      <c r="D348" t="s">
        <v>893</v>
      </c>
      <c r="E348" t="s">
        <v>895</v>
      </c>
      <c r="F348" s="6">
        <v>44155</v>
      </c>
      <c r="G348">
        <v>72</v>
      </c>
      <c r="H348" s="6">
        <v>46346</v>
      </c>
      <c r="I348" t="s">
        <v>888</v>
      </c>
    </row>
    <row r="349" spans="1:9" x14ac:dyDescent="0.3">
      <c r="A349" t="s">
        <v>1243</v>
      </c>
      <c r="B349" t="s">
        <v>884</v>
      </c>
      <c r="C349" t="s">
        <v>885</v>
      </c>
      <c r="D349" t="s">
        <v>893</v>
      </c>
      <c r="E349" t="s">
        <v>895</v>
      </c>
      <c r="F349" s="6">
        <v>44155</v>
      </c>
      <c r="G349">
        <v>72</v>
      </c>
      <c r="H349" s="6">
        <v>46346</v>
      </c>
      <c r="I349" t="s">
        <v>888</v>
      </c>
    </row>
    <row r="350" spans="1:9" x14ac:dyDescent="0.3">
      <c r="A350" t="s">
        <v>1244</v>
      </c>
      <c r="B350" t="s">
        <v>884</v>
      </c>
      <c r="C350" t="s">
        <v>885</v>
      </c>
      <c r="D350" t="s">
        <v>893</v>
      </c>
      <c r="E350" t="s">
        <v>895</v>
      </c>
      <c r="F350" s="6">
        <v>44155</v>
      </c>
      <c r="G350">
        <v>72</v>
      </c>
      <c r="H350" s="6">
        <v>46346</v>
      </c>
      <c r="I350" t="s">
        <v>888</v>
      </c>
    </row>
    <row r="351" spans="1:9" x14ac:dyDescent="0.3">
      <c r="A351" t="s">
        <v>1245</v>
      </c>
      <c r="B351" t="s">
        <v>884</v>
      </c>
      <c r="C351" t="s">
        <v>885</v>
      </c>
      <c r="D351" t="s">
        <v>893</v>
      </c>
      <c r="E351" t="s">
        <v>895</v>
      </c>
      <c r="F351" s="6">
        <v>44155</v>
      </c>
      <c r="G351">
        <v>72</v>
      </c>
      <c r="H351" s="6">
        <v>46346</v>
      </c>
      <c r="I351" t="s">
        <v>888</v>
      </c>
    </row>
    <row r="352" spans="1:9" x14ac:dyDescent="0.3">
      <c r="A352" t="s">
        <v>1246</v>
      </c>
      <c r="B352" t="s">
        <v>884</v>
      </c>
      <c r="C352" t="s">
        <v>885</v>
      </c>
      <c r="D352" t="s">
        <v>893</v>
      </c>
      <c r="E352" t="s">
        <v>895</v>
      </c>
      <c r="F352" s="6">
        <v>44155</v>
      </c>
      <c r="G352">
        <v>72</v>
      </c>
      <c r="H352" s="6">
        <v>46346</v>
      </c>
      <c r="I352" t="s">
        <v>888</v>
      </c>
    </row>
    <row r="353" spans="1:9" x14ac:dyDescent="0.3">
      <c r="A353" t="s">
        <v>1247</v>
      </c>
      <c r="B353" t="s">
        <v>884</v>
      </c>
      <c r="C353" t="s">
        <v>885</v>
      </c>
      <c r="D353" t="s">
        <v>893</v>
      </c>
      <c r="E353" t="s">
        <v>895</v>
      </c>
      <c r="F353" s="6">
        <v>44155</v>
      </c>
      <c r="G353">
        <v>72</v>
      </c>
      <c r="H353" s="6">
        <v>46346</v>
      </c>
      <c r="I353" t="s">
        <v>888</v>
      </c>
    </row>
    <row r="354" spans="1:9" x14ac:dyDescent="0.3">
      <c r="A354" t="s">
        <v>1248</v>
      </c>
      <c r="B354" t="s">
        <v>884</v>
      </c>
      <c r="C354" t="s">
        <v>885</v>
      </c>
      <c r="D354" t="s">
        <v>893</v>
      </c>
      <c r="E354" t="s">
        <v>895</v>
      </c>
      <c r="F354" s="6">
        <v>44155</v>
      </c>
      <c r="G354">
        <v>72</v>
      </c>
      <c r="H354" s="6">
        <v>46346</v>
      </c>
      <c r="I354" t="s">
        <v>888</v>
      </c>
    </row>
    <row r="355" spans="1:9" x14ac:dyDescent="0.3">
      <c r="A355" t="s">
        <v>1249</v>
      </c>
      <c r="B355" t="s">
        <v>884</v>
      </c>
      <c r="C355" t="s">
        <v>885</v>
      </c>
      <c r="D355" t="s">
        <v>893</v>
      </c>
      <c r="E355" t="s">
        <v>895</v>
      </c>
      <c r="F355" s="6">
        <v>44155</v>
      </c>
      <c r="G355">
        <v>72</v>
      </c>
      <c r="H355" s="6">
        <v>46346</v>
      </c>
      <c r="I355" t="s">
        <v>888</v>
      </c>
    </row>
    <row r="356" spans="1:9" x14ac:dyDescent="0.3">
      <c r="A356" t="s">
        <v>1250</v>
      </c>
      <c r="B356" t="s">
        <v>884</v>
      </c>
      <c r="C356" t="s">
        <v>885</v>
      </c>
      <c r="D356" t="s">
        <v>893</v>
      </c>
      <c r="E356" t="s">
        <v>895</v>
      </c>
      <c r="F356" s="6">
        <v>44155</v>
      </c>
      <c r="G356">
        <v>72</v>
      </c>
      <c r="H356" s="6">
        <v>46346</v>
      </c>
      <c r="I356" t="s">
        <v>888</v>
      </c>
    </row>
    <row r="357" spans="1:9" x14ac:dyDescent="0.3">
      <c r="A357" t="s">
        <v>1251</v>
      </c>
      <c r="B357" t="s">
        <v>884</v>
      </c>
      <c r="C357" t="s">
        <v>885</v>
      </c>
      <c r="D357" t="s">
        <v>937</v>
      </c>
      <c r="E357" t="s">
        <v>895</v>
      </c>
      <c r="F357" s="6">
        <v>44155</v>
      </c>
      <c r="G357">
        <v>72</v>
      </c>
      <c r="H357" s="6">
        <v>46346</v>
      </c>
      <c r="I357" t="s">
        <v>888</v>
      </c>
    </row>
    <row r="358" spans="1:9" x14ac:dyDescent="0.3">
      <c r="A358" t="s">
        <v>1252</v>
      </c>
      <c r="B358" t="s">
        <v>884</v>
      </c>
      <c r="C358" t="s">
        <v>885</v>
      </c>
      <c r="D358" t="s">
        <v>937</v>
      </c>
      <c r="E358" t="s">
        <v>895</v>
      </c>
      <c r="F358" s="6">
        <v>44155</v>
      </c>
      <c r="G358">
        <v>72</v>
      </c>
      <c r="H358" s="6">
        <v>46346</v>
      </c>
      <c r="I358" t="s">
        <v>888</v>
      </c>
    </row>
    <row r="359" spans="1:9" x14ac:dyDescent="0.3">
      <c r="A359" t="s">
        <v>1253</v>
      </c>
      <c r="B359" t="s">
        <v>884</v>
      </c>
      <c r="C359" t="s">
        <v>885</v>
      </c>
      <c r="D359" t="s">
        <v>937</v>
      </c>
      <c r="E359" t="s">
        <v>895</v>
      </c>
      <c r="F359" s="6">
        <v>44155</v>
      </c>
      <c r="G359">
        <v>72</v>
      </c>
      <c r="H359" s="6">
        <v>46346</v>
      </c>
      <c r="I359" t="s">
        <v>888</v>
      </c>
    </row>
    <row r="360" spans="1:9" x14ac:dyDescent="0.3">
      <c r="A360" t="s">
        <v>1254</v>
      </c>
      <c r="B360" t="s">
        <v>884</v>
      </c>
      <c r="C360" t="s">
        <v>885</v>
      </c>
      <c r="D360" t="s">
        <v>937</v>
      </c>
      <c r="E360" t="s">
        <v>895</v>
      </c>
      <c r="F360" s="6">
        <v>44155</v>
      </c>
      <c r="G360">
        <v>72</v>
      </c>
      <c r="H360" s="6">
        <v>46346</v>
      </c>
      <c r="I360" t="s">
        <v>888</v>
      </c>
    </row>
    <row r="361" spans="1:9" x14ac:dyDescent="0.3">
      <c r="A361" t="s">
        <v>1255</v>
      </c>
      <c r="B361" t="s">
        <v>884</v>
      </c>
      <c r="C361" t="s">
        <v>885</v>
      </c>
      <c r="D361" t="s">
        <v>937</v>
      </c>
      <c r="E361" t="s">
        <v>895</v>
      </c>
      <c r="F361" s="6">
        <v>44155</v>
      </c>
      <c r="G361">
        <v>72</v>
      </c>
      <c r="H361" s="6">
        <v>46346</v>
      </c>
      <c r="I361" t="s">
        <v>888</v>
      </c>
    </row>
    <row r="362" spans="1:9" x14ac:dyDescent="0.3">
      <c r="A362" t="s">
        <v>1256</v>
      </c>
      <c r="B362" t="s">
        <v>884</v>
      </c>
      <c r="C362" t="s">
        <v>885</v>
      </c>
      <c r="D362" t="s">
        <v>937</v>
      </c>
      <c r="E362" t="s">
        <v>895</v>
      </c>
      <c r="F362" s="6">
        <v>44155</v>
      </c>
      <c r="G362">
        <v>72</v>
      </c>
      <c r="H362" s="6">
        <v>46346</v>
      </c>
      <c r="I362" t="s">
        <v>888</v>
      </c>
    </row>
    <row r="363" spans="1:9" x14ac:dyDescent="0.3">
      <c r="A363" t="s">
        <v>1257</v>
      </c>
      <c r="B363" t="s">
        <v>884</v>
      </c>
      <c r="C363" t="s">
        <v>885</v>
      </c>
      <c r="D363" t="s">
        <v>937</v>
      </c>
      <c r="E363" t="s">
        <v>895</v>
      </c>
      <c r="F363" s="6">
        <v>44155</v>
      </c>
      <c r="G363">
        <v>72</v>
      </c>
      <c r="H363" s="6">
        <v>46346</v>
      </c>
      <c r="I363" t="s">
        <v>888</v>
      </c>
    </row>
    <row r="364" spans="1:9" x14ac:dyDescent="0.3">
      <c r="A364" t="s">
        <v>1258</v>
      </c>
      <c r="B364" t="s">
        <v>884</v>
      </c>
      <c r="C364" t="s">
        <v>885</v>
      </c>
      <c r="D364" t="s">
        <v>937</v>
      </c>
      <c r="E364" t="s">
        <v>895</v>
      </c>
      <c r="F364" s="6">
        <v>44155</v>
      </c>
      <c r="G364">
        <v>72</v>
      </c>
      <c r="H364" s="6">
        <v>46346</v>
      </c>
      <c r="I364" t="s">
        <v>888</v>
      </c>
    </row>
    <row r="365" spans="1:9" x14ac:dyDescent="0.3">
      <c r="A365" t="s">
        <v>1259</v>
      </c>
      <c r="B365" t="s">
        <v>884</v>
      </c>
      <c r="C365" t="s">
        <v>885</v>
      </c>
      <c r="D365" t="s">
        <v>937</v>
      </c>
      <c r="E365" t="s">
        <v>895</v>
      </c>
      <c r="F365" s="6">
        <v>44155</v>
      </c>
      <c r="G365">
        <v>72</v>
      </c>
      <c r="H365" s="6">
        <v>46346</v>
      </c>
      <c r="I365" t="s">
        <v>888</v>
      </c>
    </row>
    <row r="366" spans="1:9" x14ac:dyDescent="0.3">
      <c r="A366" t="s">
        <v>1260</v>
      </c>
      <c r="B366" t="s">
        <v>884</v>
      </c>
      <c r="C366" t="s">
        <v>885</v>
      </c>
      <c r="D366" t="s">
        <v>937</v>
      </c>
      <c r="E366" t="s">
        <v>895</v>
      </c>
      <c r="F366" s="6">
        <v>44155</v>
      </c>
      <c r="G366">
        <v>72</v>
      </c>
      <c r="H366" s="6">
        <v>46346</v>
      </c>
      <c r="I366" t="s">
        <v>888</v>
      </c>
    </row>
    <row r="367" spans="1:9" x14ac:dyDescent="0.3">
      <c r="A367" t="s">
        <v>1261</v>
      </c>
      <c r="B367" t="s">
        <v>884</v>
      </c>
      <c r="C367" t="s">
        <v>885</v>
      </c>
      <c r="D367" t="s">
        <v>937</v>
      </c>
      <c r="E367" t="s">
        <v>895</v>
      </c>
      <c r="F367" s="6">
        <v>44155</v>
      </c>
      <c r="G367">
        <v>72</v>
      </c>
      <c r="H367" s="6">
        <v>46346</v>
      </c>
      <c r="I367" t="s">
        <v>888</v>
      </c>
    </row>
    <row r="368" spans="1:9" x14ac:dyDescent="0.3">
      <c r="A368" t="s">
        <v>1262</v>
      </c>
      <c r="B368" t="s">
        <v>884</v>
      </c>
      <c r="C368" t="s">
        <v>885</v>
      </c>
      <c r="D368" t="s">
        <v>937</v>
      </c>
      <c r="E368" t="s">
        <v>895</v>
      </c>
      <c r="F368" s="6">
        <v>44155</v>
      </c>
      <c r="G368">
        <v>72</v>
      </c>
      <c r="H368" s="6">
        <v>46346</v>
      </c>
      <c r="I368" t="s">
        <v>888</v>
      </c>
    </row>
    <row r="369" spans="1:9" x14ac:dyDescent="0.3">
      <c r="A369" t="s">
        <v>1263</v>
      </c>
      <c r="B369" t="s">
        <v>884</v>
      </c>
      <c r="C369" t="s">
        <v>885</v>
      </c>
      <c r="D369" t="s">
        <v>937</v>
      </c>
      <c r="E369" t="s">
        <v>895</v>
      </c>
      <c r="F369" s="6">
        <v>44155</v>
      </c>
      <c r="G369">
        <v>72</v>
      </c>
      <c r="H369" s="6">
        <v>46346</v>
      </c>
      <c r="I369" t="s">
        <v>888</v>
      </c>
    </row>
    <row r="370" spans="1:9" x14ac:dyDescent="0.3">
      <c r="A370" t="s">
        <v>1264</v>
      </c>
      <c r="B370" t="s">
        <v>884</v>
      </c>
      <c r="C370" t="s">
        <v>885</v>
      </c>
      <c r="D370" t="s">
        <v>937</v>
      </c>
      <c r="E370" t="s">
        <v>895</v>
      </c>
      <c r="F370" s="6">
        <v>44155</v>
      </c>
      <c r="G370">
        <v>72</v>
      </c>
      <c r="H370" s="6">
        <v>46346</v>
      </c>
      <c r="I370" t="s">
        <v>888</v>
      </c>
    </row>
    <row r="371" spans="1:9" x14ac:dyDescent="0.3">
      <c r="A371" t="s">
        <v>1265</v>
      </c>
      <c r="B371" t="s">
        <v>884</v>
      </c>
      <c r="C371" t="s">
        <v>885</v>
      </c>
      <c r="D371" t="s">
        <v>937</v>
      </c>
      <c r="E371" t="s">
        <v>895</v>
      </c>
      <c r="F371" s="6">
        <v>44155</v>
      </c>
      <c r="G371">
        <v>72</v>
      </c>
      <c r="H371" s="6">
        <v>46346</v>
      </c>
      <c r="I371" t="s">
        <v>888</v>
      </c>
    </row>
    <row r="372" spans="1:9" x14ac:dyDescent="0.3">
      <c r="A372" t="s">
        <v>1266</v>
      </c>
      <c r="B372" t="s">
        <v>884</v>
      </c>
      <c r="C372" t="s">
        <v>885</v>
      </c>
      <c r="D372" t="s">
        <v>937</v>
      </c>
      <c r="E372" t="s">
        <v>895</v>
      </c>
      <c r="F372" s="6">
        <v>44155</v>
      </c>
      <c r="G372">
        <v>72</v>
      </c>
      <c r="H372" s="6">
        <v>46346</v>
      </c>
      <c r="I372" t="s">
        <v>888</v>
      </c>
    </row>
    <row r="373" spans="1:9" x14ac:dyDescent="0.3">
      <c r="A373" t="s">
        <v>1267</v>
      </c>
      <c r="B373" t="s">
        <v>884</v>
      </c>
      <c r="C373" t="s">
        <v>885</v>
      </c>
      <c r="D373" t="s">
        <v>937</v>
      </c>
      <c r="E373" t="s">
        <v>895</v>
      </c>
      <c r="F373" s="6">
        <v>44155</v>
      </c>
      <c r="G373">
        <v>72</v>
      </c>
      <c r="H373" s="6">
        <v>46346</v>
      </c>
      <c r="I373" t="s">
        <v>888</v>
      </c>
    </row>
    <row r="374" spans="1:9" x14ac:dyDescent="0.3">
      <c r="A374" t="s">
        <v>1268</v>
      </c>
      <c r="B374" t="s">
        <v>884</v>
      </c>
      <c r="C374" t="s">
        <v>885</v>
      </c>
      <c r="D374" t="s">
        <v>937</v>
      </c>
      <c r="E374" t="s">
        <v>895</v>
      </c>
      <c r="F374" s="6">
        <v>44155</v>
      </c>
      <c r="G374">
        <v>72</v>
      </c>
      <c r="H374" s="6">
        <v>46346</v>
      </c>
      <c r="I374" t="s">
        <v>888</v>
      </c>
    </row>
    <row r="375" spans="1:9" x14ac:dyDescent="0.3">
      <c r="A375" t="s">
        <v>1269</v>
      </c>
      <c r="B375" t="s">
        <v>884</v>
      </c>
      <c r="C375" t="s">
        <v>885</v>
      </c>
      <c r="D375" t="s">
        <v>937</v>
      </c>
      <c r="E375" t="s">
        <v>895</v>
      </c>
      <c r="F375" s="6">
        <v>44155</v>
      </c>
      <c r="G375">
        <v>72</v>
      </c>
      <c r="H375" s="6">
        <v>46346</v>
      </c>
      <c r="I375" t="s">
        <v>888</v>
      </c>
    </row>
    <row r="376" spans="1:9" x14ac:dyDescent="0.3">
      <c r="A376" t="s">
        <v>1270</v>
      </c>
      <c r="B376" t="s">
        <v>884</v>
      </c>
      <c r="C376" t="s">
        <v>885</v>
      </c>
      <c r="D376" t="s">
        <v>937</v>
      </c>
      <c r="E376" t="s">
        <v>895</v>
      </c>
      <c r="F376" s="6">
        <v>44155</v>
      </c>
      <c r="G376">
        <v>72</v>
      </c>
      <c r="H376" s="6">
        <v>46346</v>
      </c>
      <c r="I376" t="s">
        <v>888</v>
      </c>
    </row>
    <row r="377" spans="1:9" x14ac:dyDescent="0.3">
      <c r="A377" t="s">
        <v>1271</v>
      </c>
      <c r="B377" t="s">
        <v>884</v>
      </c>
      <c r="C377" t="s">
        <v>885</v>
      </c>
      <c r="D377" t="s">
        <v>937</v>
      </c>
      <c r="E377" t="s">
        <v>895</v>
      </c>
      <c r="F377" s="6">
        <v>44155</v>
      </c>
      <c r="G377">
        <v>72</v>
      </c>
      <c r="H377" s="6">
        <v>46346</v>
      </c>
      <c r="I377" t="s">
        <v>888</v>
      </c>
    </row>
    <row r="378" spans="1:9" x14ac:dyDescent="0.3">
      <c r="A378" t="s">
        <v>1272</v>
      </c>
      <c r="B378" t="s">
        <v>884</v>
      </c>
      <c r="C378" t="s">
        <v>885</v>
      </c>
      <c r="D378" t="s">
        <v>937</v>
      </c>
      <c r="E378" t="s">
        <v>895</v>
      </c>
      <c r="F378" s="6">
        <v>44155</v>
      </c>
      <c r="G378">
        <v>72</v>
      </c>
      <c r="H378" s="6">
        <v>46346</v>
      </c>
      <c r="I378" t="s">
        <v>888</v>
      </c>
    </row>
    <row r="379" spans="1:9" x14ac:dyDescent="0.3">
      <c r="A379" t="s">
        <v>1273</v>
      </c>
      <c r="B379" t="s">
        <v>884</v>
      </c>
      <c r="C379" t="s">
        <v>885</v>
      </c>
      <c r="D379" t="s">
        <v>937</v>
      </c>
      <c r="E379" t="s">
        <v>895</v>
      </c>
      <c r="F379" s="6">
        <v>44155</v>
      </c>
      <c r="G379">
        <v>72</v>
      </c>
      <c r="H379" s="6">
        <v>46346</v>
      </c>
      <c r="I379" t="s">
        <v>888</v>
      </c>
    </row>
    <row r="380" spans="1:9" x14ac:dyDescent="0.3">
      <c r="A380" t="s">
        <v>1274</v>
      </c>
      <c r="B380" t="s">
        <v>884</v>
      </c>
      <c r="C380" t="s">
        <v>885</v>
      </c>
      <c r="D380" t="s">
        <v>937</v>
      </c>
      <c r="E380" t="s">
        <v>895</v>
      </c>
      <c r="F380" s="6">
        <v>44155</v>
      </c>
      <c r="G380">
        <v>72</v>
      </c>
      <c r="H380" s="6">
        <v>46346</v>
      </c>
      <c r="I380" t="s">
        <v>888</v>
      </c>
    </row>
    <row r="381" spans="1:9" x14ac:dyDescent="0.3">
      <c r="A381" t="s">
        <v>1275</v>
      </c>
      <c r="B381" t="s">
        <v>884</v>
      </c>
      <c r="C381" t="s">
        <v>885</v>
      </c>
      <c r="D381" t="s">
        <v>937</v>
      </c>
      <c r="E381" t="s">
        <v>895</v>
      </c>
      <c r="F381" s="6">
        <v>44155</v>
      </c>
      <c r="G381">
        <v>72</v>
      </c>
      <c r="H381" s="6">
        <v>46346</v>
      </c>
      <c r="I381" t="s">
        <v>888</v>
      </c>
    </row>
    <row r="382" spans="1:9" x14ac:dyDescent="0.3">
      <c r="A382" t="s">
        <v>1276</v>
      </c>
      <c r="B382" t="s">
        <v>884</v>
      </c>
      <c r="C382" t="s">
        <v>885</v>
      </c>
      <c r="D382" t="s">
        <v>937</v>
      </c>
      <c r="E382" t="s">
        <v>895</v>
      </c>
      <c r="F382" s="6">
        <v>44155</v>
      </c>
      <c r="G382">
        <v>72</v>
      </c>
      <c r="H382" s="6">
        <v>46346</v>
      </c>
      <c r="I382" t="s">
        <v>888</v>
      </c>
    </row>
    <row r="383" spans="1:9" x14ac:dyDescent="0.3">
      <c r="A383" t="s">
        <v>1277</v>
      </c>
      <c r="B383" t="s">
        <v>884</v>
      </c>
      <c r="C383" t="s">
        <v>885</v>
      </c>
      <c r="D383" t="s">
        <v>937</v>
      </c>
      <c r="E383" t="s">
        <v>895</v>
      </c>
      <c r="F383" s="6">
        <v>44155</v>
      </c>
      <c r="G383">
        <v>72</v>
      </c>
      <c r="H383" s="6">
        <v>46346</v>
      </c>
      <c r="I383" t="s">
        <v>888</v>
      </c>
    </row>
    <row r="384" spans="1:9" x14ac:dyDescent="0.3">
      <c r="A384" t="s">
        <v>1278</v>
      </c>
      <c r="B384" t="s">
        <v>884</v>
      </c>
      <c r="C384" t="s">
        <v>885</v>
      </c>
      <c r="D384" t="s">
        <v>937</v>
      </c>
      <c r="E384" t="s">
        <v>895</v>
      </c>
      <c r="F384" s="6">
        <v>44155</v>
      </c>
      <c r="G384">
        <v>72</v>
      </c>
      <c r="H384" s="6">
        <v>46346</v>
      </c>
      <c r="I384" t="s">
        <v>888</v>
      </c>
    </row>
    <row r="385" spans="1:9" x14ac:dyDescent="0.3">
      <c r="A385" t="s">
        <v>1279</v>
      </c>
      <c r="B385" t="s">
        <v>884</v>
      </c>
      <c r="C385" t="s">
        <v>885</v>
      </c>
      <c r="D385" t="s">
        <v>886</v>
      </c>
      <c r="E385" t="s">
        <v>895</v>
      </c>
      <c r="F385" s="6">
        <v>44155</v>
      </c>
      <c r="G385">
        <v>72</v>
      </c>
      <c r="H385" s="6">
        <v>46346</v>
      </c>
      <c r="I385" t="s">
        <v>888</v>
      </c>
    </row>
    <row r="386" spans="1:9" x14ac:dyDescent="0.3">
      <c r="A386" t="s">
        <v>1280</v>
      </c>
      <c r="B386" t="s">
        <v>884</v>
      </c>
      <c r="C386" t="s">
        <v>885</v>
      </c>
      <c r="D386" t="s">
        <v>886</v>
      </c>
      <c r="E386" t="s">
        <v>895</v>
      </c>
      <c r="F386" s="6">
        <v>44155</v>
      </c>
      <c r="G386">
        <v>72</v>
      </c>
      <c r="H386" s="6">
        <v>46346</v>
      </c>
      <c r="I386" t="s">
        <v>888</v>
      </c>
    </row>
    <row r="387" spans="1:9" x14ac:dyDescent="0.3">
      <c r="A387" t="s">
        <v>1281</v>
      </c>
      <c r="B387" t="s">
        <v>884</v>
      </c>
      <c r="C387" t="s">
        <v>885</v>
      </c>
      <c r="D387" t="s">
        <v>886</v>
      </c>
      <c r="E387" t="s">
        <v>895</v>
      </c>
      <c r="F387" s="6">
        <v>44155</v>
      </c>
      <c r="G387">
        <v>72</v>
      </c>
      <c r="H387" s="6">
        <v>46346</v>
      </c>
      <c r="I387" t="s">
        <v>888</v>
      </c>
    </row>
    <row r="388" spans="1:9" x14ac:dyDescent="0.3">
      <c r="A388" t="s">
        <v>1282</v>
      </c>
      <c r="B388" t="s">
        <v>884</v>
      </c>
      <c r="C388" t="s">
        <v>885</v>
      </c>
      <c r="D388" t="s">
        <v>886</v>
      </c>
      <c r="E388" t="s">
        <v>895</v>
      </c>
      <c r="F388" s="6">
        <v>44155</v>
      </c>
      <c r="G388">
        <v>72</v>
      </c>
      <c r="H388" s="6">
        <v>46346</v>
      </c>
      <c r="I388" t="s">
        <v>888</v>
      </c>
    </row>
    <row r="389" spans="1:9" x14ac:dyDescent="0.3">
      <c r="A389" t="s">
        <v>1283</v>
      </c>
      <c r="B389" t="s">
        <v>884</v>
      </c>
      <c r="C389" t="s">
        <v>885</v>
      </c>
      <c r="D389" t="s">
        <v>886</v>
      </c>
      <c r="E389" t="s">
        <v>895</v>
      </c>
      <c r="F389" s="6">
        <v>44155</v>
      </c>
      <c r="G389">
        <v>72</v>
      </c>
      <c r="H389" s="6">
        <v>46346</v>
      </c>
      <c r="I389" t="s">
        <v>888</v>
      </c>
    </row>
    <row r="390" spans="1:9" x14ac:dyDescent="0.3">
      <c r="A390" t="s">
        <v>1284</v>
      </c>
      <c r="B390" t="s">
        <v>884</v>
      </c>
      <c r="C390" t="s">
        <v>885</v>
      </c>
      <c r="D390" t="s">
        <v>886</v>
      </c>
      <c r="E390" t="s">
        <v>895</v>
      </c>
      <c r="F390" s="6">
        <v>44155</v>
      </c>
      <c r="G390">
        <v>72</v>
      </c>
      <c r="H390" s="6">
        <v>46346</v>
      </c>
      <c r="I390" t="s">
        <v>888</v>
      </c>
    </row>
    <row r="391" spans="1:9" x14ac:dyDescent="0.3">
      <c r="A391" t="s">
        <v>1285</v>
      </c>
      <c r="B391" t="s">
        <v>884</v>
      </c>
      <c r="C391" t="s">
        <v>885</v>
      </c>
      <c r="D391" t="s">
        <v>886</v>
      </c>
      <c r="E391" t="s">
        <v>895</v>
      </c>
      <c r="F391" s="6">
        <v>44155</v>
      </c>
      <c r="G391">
        <v>72</v>
      </c>
      <c r="H391" s="6">
        <v>46346</v>
      </c>
      <c r="I391" t="s">
        <v>888</v>
      </c>
    </row>
    <row r="392" spans="1:9" x14ac:dyDescent="0.3">
      <c r="A392" t="s">
        <v>1286</v>
      </c>
      <c r="B392" t="s">
        <v>884</v>
      </c>
      <c r="C392" t="s">
        <v>885</v>
      </c>
      <c r="D392" t="s">
        <v>886</v>
      </c>
      <c r="E392" t="s">
        <v>895</v>
      </c>
      <c r="F392" s="6">
        <v>44155</v>
      </c>
      <c r="G392">
        <v>72</v>
      </c>
      <c r="H392" s="6">
        <v>46346</v>
      </c>
      <c r="I392" t="s">
        <v>888</v>
      </c>
    </row>
    <row r="393" spans="1:9" x14ac:dyDescent="0.3">
      <c r="A393" t="s">
        <v>1287</v>
      </c>
      <c r="B393" t="s">
        <v>884</v>
      </c>
      <c r="C393" t="s">
        <v>885</v>
      </c>
      <c r="D393" t="s">
        <v>886</v>
      </c>
      <c r="E393" t="s">
        <v>895</v>
      </c>
      <c r="F393" s="6">
        <v>44155</v>
      </c>
      <c r="G393">
        <v>72</v>
      </c>
      <c r="H393" s="6">
        <v>46346</v>
      </c>
      <c r="I393" t="s">
        <v>888</v>
      </c>
    </row>
    <row r="394" spans="1:9" x14ac:dyDescent="0.3">
      <c r="A394" t="s">
        <v>1288</v>
      </c>
      <c r="B394" t="s">
        <v>884</v>
      </c>
      <c r="C394" t="s">
        <v>885</v>
      </c>
      <c r="D394" t="s">
        <v>886</v>
      </c>
      <c r="E394" t="s">
        <v>895</v>
      </c>
      <c r="F394" s="6">
        <v>44155</v>
      </c>
      <c r="G394">
        <v>72</v>
      </c>
      <c r="H394" s="6">
        <v>46346</v>
      </c>
      <c r="I394" t="s">
        <v>888</v>
      </c>
    </row>
    <row r="395" spans="1:9" x14ac:dyDescent="0.3">
      <c r="A395" t="s">
        <v>1289</v>
      </c>
      <c r="B395" t="s">
        <v>884</v>
      </c>
      <c r="C395" t="s">
        <v>885</v>
      </c>
      <c r="D395" t="s">
        <v>886</v>
      </c>
      <c r="E395" t="s">
        <v>895</v>
      </c>
      <c r="F395" s="6">
        <v>44155</v>
      </c>
      <c r="G395">
        <v>72</v>
      </c>
      <c r="H395" s="6">
        <v>46346</v>
      </c>
      <c r="I395" t="s">
        <v>888</v>
      </c>
    </row>
    <row r="396" spans="1:9" x14ac:dyDescent="0.3">
      <c r="A396" t="s">
        <v>1290</v>
      </c>
      <c r="B396" t="s">
        <v>884</v>
      </c>
      <c r="C396" t="s">
        <v>885</v>
      </c>
      <c r="D396" t="s">
        <v>886</v>
      </c>
      <c r="E396" t="s">
        <v>895</v>
      </c>
      <c r="F396" s="6">
        <v>44155</v>
      </c>
      <c r="G396">
        <v>72</v>
      </c>
      <c r="H396" s="6">
        <v>46346</v>
      </c>
      <c r="I396" t="s">
        <v>888</v>
      </c>
    </row>
    <row r="397" spans="1:9" x14ac:dyDescent="0.3">
      <c r="A397" t="s">
        <v>1291</v>
      </c>
      <c r="B397" t="s">
        <v>884</v>
      </c>
      <c r="C397" t="s">
        <v>885</v>
      </c>
      <c r="D397" t="s">
        <v>886</v>
      </c>
      <c r="E397" t="s">
        <v>895</v>
      </c>
      <c r="F397" s="6">
        <v>44155</v>
      </c>
      <c r="G397">
        <v>72</v>
      </c>
      <c r="H397" s="6">
        <v>46346</v>
      </c>
      <c r="I397" t="s">
        <v>888</v>
      </c>
    </row>
    <row r="398" spans="1:9" x14ac:dyDescent="0.3">
      <c r="A398" t="s">
        <v>1292</v>
      </c>
      <c r="B398" t="s">
        <v>884</v>
      </c>
      <c r="C398" t="s">
        <v>885</v>
      </c>
      <c r="D398" t="s">
        <v>886</v>
      </c>
      <c r="E398" t="s">
        <v>895</v>
      </c>
      <c r="F398" s="6">
        <v>44155</v>
      </c>
      <c r="G398">
        <v>72</v>
      </c>
      <c r="H398" s="6">
        <v>46346</v>
      </c>
      <c r="I398" t="s">
        <v>888</v>
      </c>
    </row>
    <row r="399" spans="1:9" x14ac:dyDescent="0.3">
      <c r="A399" t="s">
        <v>1293</v>
      </c>
      <c r="B399" t="s">
        <v>884</v>
      </c>
      <c r="C399" t="s">
        <v>885</v>
      </c>
      <c r="D399" t="s">
        <v>886</v>
      </c>
      <c r="E399" t="s">
        <v>895</v>
      </c>
      <c r="F399" s="6">
        <v>44155</v>
      </c>
      <c r="G399">
        <v>72</v>
      </c>
      <c r="H399" s="6">
        <v>46346</v>
      </c>
      <c r="I399" t="s">
        <v>888</v>
      </c>
    </row>
    <row r="400" spans="1:9" x14ac:dyDescent="0.3">
      <c r="A400" t="s">
        <v>1294</v>
      </c>
      <c r="B400" t="s">
        <v>884</v>
      </c>
      <c r="C400" t="s">
        <v>885</v>
      </c>
      <c r="D400" t="s">
        <v>886</v>
      </c>
      <c r="E400" t="s">
        <v>895</v>
      </c>
      <c r="F400" s="6">
        <v>44155</v>
      </c>
      <c r="G400">
        <v>72</v>
      </c>
      <c r="H400" s="6">
        <v>46346</v>
      </c>
      <c r="I400" t="s">
        <v>888</v>
      </c>
    </row>
    <row r="401" spans="1:9" x14ac:dyDescent="0.3">
      <c r="A401" t="s">
        <v>1295</v>
      </c>
      <c r="B401" t="s">
        <v>884</v>
      </c>
      <c r="C401" t="s">
        <v>885</v>
      </c>
      <c r="D401" t="s">
        <v>886</v>
      </c>
      <c r="E401" t="s">
        <v>895</v>
      </c>
      <c r="F401" s="6">
        <v>44155</v>
      </c>
      <c r="G401">
        <v>72</v>
      </c>
      <c r="H401" s="6">
        <v>46346</v>
      </c>
      <c r="I401" t="s">
        <v>888</v>
      </c>
    </row>
    <row r="402" spans="1:9" x14ac:dyDescent="0.3">
      <c r="A402" t="s">
        <v>1296</v>
      </c>
      <c r="B402" t="s">
        <v>884</v>
      </c>
      <c r="C402" t="s">
        <v>885</v>
      </c>
      <c r="D402" t="s">
        <v>886</v>
      </c>
      <c r="E402" t="s">
        <v>895</v>
      </c>
      <c r="F402" s="6">
        <v>44155</v>
      </c>
      <c r="G402">
        <v>72</v>
      </c>
      <c r="H402" s="6">
        <v>46346</v>
      </c>
      <c r="I402" t="s">
        <v>888</v>
      </c>
    </row>
    <row r="403" spans="1:9" x14ac:dyDescent="0.3">
      <c r="A403" t="s">
        <v>1297</v>
      </c>
      <c r="B403" t="s">
        <v>884</v>
      </c>
      <c r="C403" t="s">
        <v>885</v>
      </c>
      <c r="D403" t="s">
        <v>886</v>
      </c>
      <c r="E403" t="s">
        <v>895</v>
      </c>
      <c r="F403" s="6">
        <v>44155</v>
      </c>
      <c r="G403">
        <v>72</v>
      </c>
      <c r="H403" s="6">
        <v>46346</v>
      </c>
      <c r="I403" t="s">
        <v>888</v>
      </c>
    </row>
    <row r="404" spans="1:9" x14ac:dyDescent="0.3">
      <c r="A404" t="s">
        <v>1298</v>
      </c>
      <c r="B404" t="s">
        <v>884</v>
      </c>
      <c r="C404" t="s">
        <v>885</v>
      </c>
      <c r="D404" t="s">
        <v>886</v>
      </c>
      <c r="E404" t="s">
        <v>895</v>
      </c>
      <c r="F404" s="6">
        <v>44155</v>
      </c>
      <c r="G404">
        <v>72</v>
      </c>
      <c r="H404" s="6">
        <v>46346</v>
      </c>
      <c r="I404" t="s">
        <v>888</v>
      </c>
    </row>
    <row r="405" spans="1:9" x14ac:dyDescent="0.3">
      <c r="A405" t="s">
        <v>1299</v>
      </c>
      <c r="B405" t="s">
        <v>884</v>
      </c>
      <c r="C405" t="s">
        <v>885</v>
      </c>
      <c r="D405" t="s">
        <v>886</v>
      </c>
      <c r="E405" t="s">
        <v>895</v>
      </c>
      <c r="F405" s="6">
        <v>44155</v>
      </c>
      <c r="G405">
        <v>72</v>
      </c>
      <c r="H405" s="6">
        <v>46346</v>
      </c>
      <c r="I405" t="s">
        <v>888</v>
      </c>
    </row>
    <row r="406" spans="1:9" x14ac:dyDescent="0.3">
      <c r="A406" t="s">
        <v>1300</v>
      </c>
      <c r="B406" t="s">
        <v>884</v>
      </c>
      <c r="C406" t="s">
        <v>885</v>
      </c>
      <c r="D406" t="s">
        <v>886</v>
      </c>
      <c r="E406" t="s">
        <v>895</v>
      </c>
      <c r="F406" s="6">
        <v>44155</v>
      </c>
      <c r="G406">
        <v>72</v>
      </c>
      <c r="H406" s="6">
        <v>46346</v>
      </c>
      <c r="I406" t="s">
        <v>888</v>
      </c>
    </row>
    <row r="407" spans="1:9" x14ac:dyDescent="0.3">
      <c r="A407" t="s">
        <v>1301</v>
      </c>
      <c r="B407" t="s">
        <v>884</v>
      </c>
      <c r="C407" t="s">
        <v>885</v>
      </c>
      <c r="D407" t="s">
        <v>886</v>
      </c>
      <c r="E407" t="s">
        <v>895</v>
      </c>
      <c r="F407" s="6">
        <v>44155</v>
      </c>
      <c r="G407">
        <v>72</v>
      </c>
      <c r="H407" s="6">
        <v>46346</v>
      </c>
      <c r="I407" t="s">
        <v>888</v>
      </c>
    </row>
    <row r="408" spans="1:9" x14ac:dyDescent="0.3">
      <c r="A408" t="s">
        <v>1302</v>
      </c>
      <c r="B408" t="s">
        <v>884</v>
      </c>
      <c r="C408" t="s">
        <v>885</v>
      </c>
      <c r="D408" t="s">
        <v>886</v>
      </c>
      <c r="E408" t="s">
        <v>895</v>
      </c>
      <c r="F408" s="6">
        <v>44155</v>
      </c>
      <c r="G408">
        <v>72</v>
      </c>
      <c r="H408" s="6">
        <v>46346</v>
      </c>
      <c r="I408" t="s">
        <v>888</v>
      </c>
    </row>
    <row r="409" spans="1:9" x14ac:dyDescent="0.3">
      <c r="A409" t="s">
        <v>1303</v>
      </c>
      <c r="B409" t="s">
        <v>884</v>
      </c>
      <c r="C409" t="s">
        <v>885</v>
      </c>
      <c r="D409" t="s">
        <v>886</v>
      </c>
      <c r="E409" t="s">
        <v>895</v>
      </c>
      <c r="F409" s="6">
        <v>44155</v>
      </c>
      <c r="G409">
        <v>72</v>
      </c>
      <c r="H409" s="6">
        <v>46346</v>
      </c>
      <c r="I409" t="s">
        <v>888</v>
      </c>
    </row>
    <row r="410" spans="1:9" x14ac:dyDescent="0.3">
      <c r="A410" t="s">
        <v>1304</v>
      </c>
      <c r="B410" t="s">
        <v>884</v>
      </c>
      <c r="C410" t="s">
        <v>885</v>
      </c>
      <c r="D410" t="s">
        <v>886</v>
      </c>
      <c r="E410" t="s">
        <v>895</v>
      </c>
      <c r="F410" s="6">
        <v>44155</v>
      </c>
      <c r="G410">
        <v>72</v>
      </c>
      <c r="H410" s="6">
        <v>46346</v>
      </c>
      <c r="I410" t="s">
        <v>888</v>
      </c>
    </row>
    <row r="411" spans="1:9" x14ac:dyDescent="0.3">
      <c r="A411" t="s">
        <v>1305</v>
      </c>
      <c r="B411" t="s">
        <v>884</v>
      </c>
      <c r="C411" t="s">
        <v>885</v>
      </c>
      <c r="D411" t="s">
        <v>886</v>
      </c>
      <c r="E411" t="s">
        <v>895</v>
      </c>
      <c r="F411" s="6">
        <v>44155</v>
      </c>
      <c r="G411">
        <v>72</v>
      </c>
      <c r="H411" s="6">
        <v>46346</v>
      </c>
      <c r="I411" t="s">
        <v>888</v>
      </c>
    </row>
    <row r="412" spans="1:9" x14ac:dyDescent="0.3">
      <c r="A412" t="s">
        <v>1306</v>
      </c>
      <c r="B412" t="s">
        <v>884</v>
      </c>
      <c r="C412" t="s">
        <v>885</v>
      </c>
      <c r="D412" t="s">
        <v>886</v>
      </c>
      <c r="E412" t="s">
        <v>895</v>
      </c>
      <c r="F412" s="6">
        <v>44155</v>
      </c>
      <c r="G412">
        <v>72</v>
      </c>
      <c r="H412" s="6">
        <v>46346</v>
      </c>
      <c r="I412" t="s">
        <v>888</v>
      </c>
    </row>
    <row r="413" spans="1:9" x14ac:dyDescent="0.3">
      <c r="A413" t="s">
        <v>1307</v>
      </c>
      <c r="B413" t="s">
        <v>884</v>
      </c>
      <c r="C413" t="s">
        <v>885</v>
      </c>
      <c r="D413" t="s">
        <v>886</v>
      </c>
      <c r="E413" t="s">
        <v>895</v>
      </c>
      <c r="F413" s="6">
        <v>44155</v>
      </c>
      <c r="G413">
        <v>72</v>
      </c>
      <c r="H413" s="6">
        <v>46346</v>
      </c>
      <c r="I413" t="s">
        <v>888</v>
      </c>
    </row>
    <row r="414" spans="1:9" x14ac:dyDescent="0.3">
      <c r="A414" t="s">
        <v>1308</v>
      </c>
      <c r="B414" t="s">
        <v>884</v>
      </c>
      <c r="C414" t="s">
        <v>885</v>
      </c>
      <c r="D414" t="s">
        <v>886</v>
      </c>
      <c r="E414" t="s">
        <v>895</v>
      </c>
      <c r="F414" s="6">
        <v>44155</v>
      </c>
      <c r="G414">
        <v>72</v>
      </c>
      <c r="H414" s="6">
        <v>46346</v>
      </c>
      <c r="I414" t="s">
        <v>888</v>
      </c>
    </row>
    <row r="415" spans="1:9" x14ac:dyDescent="0.3">
      <c r="A415" t="s">
        <v>1309</v>
      </c>
      <c r="B415" t="s">
        <v>884</v>
      </c>
      <c r="C415" t="s">
        <v>885</v>
      </c>
      <c r="D415" t="s">
        <v>886</v>
      </c>
      <c r="E415" t="s">
        <v>895</v>
      </c>
      <c r="F415" s="6">
        <v>44155</v>
      </c>
      <c r="G415">
        <v>72</v>
      </c>
      <c r="H415" s="6">
        <v>46346</v>
      </c>
      <c r="I415" t="s">
        <v>888</v>
      </c>
    </row>
    <row r="416" spans="1:9" x14ac:dyDescent="0.3">
      <c r="A416" t="s">
        <v>1310</v>
      </c>
      <c r="B416" t="s">
        <v>884</v>
      </c>
      <c r="C416" t="s">
        <v>885</v>
      </c>
      <c r="D416" t="s">
        <v>886</v>
      </c>
      <c r="E416" t="s">
        <v>895</v>
      </c>
      <c r="F416" s="6">
        <v>44155</v>
      </c>
      <c r="G416">
        <v>72</v>
      </c>
      <c r="H416" s="6">
        <v>46346</v>
      </c>
      <c r="I416" t="s">
        <v>888</v>
      </c>
    </row>
    <row r="417" spans="1:9" x14ac:dyDescent="0.3">
      <c r="A417" t="s">
        <v>1311</v>
      </c>
      <c r="B417" t="s">
        <v>884</v>
      </c>
      <c r="C417" t="s">
        <v>885</v>
      </c>
      <c r="D417" t="s">
        <v>886</v>
      </c>
      <c r="E417" t="s">
        <v>895</v>
      </c>
      <c r="F417" s="6">
        <v>44155</v>
      </c>
      <c r="G417">
        <v>72</v>
      </c>
      <c r="H417" s="6">
        <v>46346</v>
      </c>
      <c r="I417" t="s">
        <v>888</v>
      </c>
    </row>
    <row r="418" spans="1:9" x14ac:dyDescent="0.3">
      <c r="A418" t="s">
        <v>1312</v>
      </c>
      <c r="B418" t="s">
        <v>884</v>
      </c>
      <c r="C418" t="s">
        <v>885</v>
      </c>
      <c r="D418" t="s">
        <v>886</v>
      </c>
      <c r="E418" t="s">
        <v>895</v>
      </c>
      <c r="F418" s="6">
        <v>44155</v>
      </c>
      <c r="G418">
        <v>72</v>
      </c>
      <c r="H418" s="6">
        <v>46346</v>
      </c>
      <c r="I418" t="s">
        <v>888</v>
      </c>
    </row>
    <row r="419" spans="1:9" x14ac:dyDescent="0.3">
      <c r="A419" t="s">
        <v>1313</v>
      </c>
      <c r="B419" t="s">
        <v>884</v>
      </c>
      <c r="C419" t="s">
        <v>885</v>
      </c>
      <c r="D419" t="s">
        <v>886</v>
      </c>
      <c r="E419" t="s">
        <v>895</v>
      </c>
      <c r="F419" s="6">
        <v>44155</v>
      </c>
      <c r="G419">
        <v>72</v>
      </c>
      <c r="H419" s="6">
        <v>46346</v>
      </c>
      <c r="I419" t="s">
        <v>888</v>
      </c>
    </row>
    <row r="420" spans="1:9" x14ac:dyDescent="0.3">
      <c r="A420" t="s">
        <v>1314</v>
      </c>
      <c r="B420" t="s">
        <v>884</v>
      </c>
      <c r="C420" t="s">
        <v>885</v>
      </c>
      <c r="D420" t="s">
        <v>886</v>
      </c>
      <c r="E420" t="s">
        <v>895</v>
      </c>
      <c r="F420" s="6">
        <v>44155</v>
      </c>
      <c r="G420">
        <v>72</v>
      </c>
      <c r="H420" s="6">
        <v>46346</v>
      </c>
      <c r="I420" t="s">
        <v>888</v>
      </c>
    </row>
    <row r="421" spans="1:9" x14ac:dyDescent="0.3">
      <c r="A421" t="s">
        <v>1315</v>
      </c>
      <c r="B421" t="s">
        <v>884</v>
      </c>
      <c r="C421" t="s">
        <v>885</v>
      </c>
      <c r="D421" t="s">
        <v>886</v>
      </c>
      <c r="E421" t="s">
        <v>895</v>
      </c>
      <c r="F421" s="6">
        <v>44155</v>
      </c>
      <c r="G421">
        <v>72</v>
      </c>
      <c r="H421" s="6">
        <v>46346</v>
      </c>
      <c r="I421" t="s">
        <v>888</v>
      </c>
    </row>
    <row r="422" spans="1:9" x14ac:dyDescent="0.3">
      <c r="A422" t="s">
        <v>1316</v>
      </c>
      <c r="B422" t="s">
        <v>884</v>
      </c>
      <c r="C422" t="s">
        <v>885</v>
      </c>
      <c r="D422" t="s">
        <v>886</v>
      </c>
      <c r="E422" t="s">
        <v>895</v>
      </c>
      <c r="F422" s="6">
        <v>44155</v>
      </c>
      <c r="G422">
        <v>72</v>
      </c>
      <c r="H422" s="6">
        <v>46346</v>
      </c>
      <c r="I422" t="s">
        <v>888</v>
      </c>
    </row>
    <row r="423" spans="1:9" x14ac:dyDescent="0.3">
      <c r="A423" t="s">
        <v>1317</v>
      </c>
      <c r="B423" t="s">
        <v>884</v>
      </c>
      <c r="C423" t="s">
        <v>885</v>
      </c>
      <c r="D423" t="s">
        <v>886</v>
      </c>
      <c r="E423" t="s">
        <v>895</v>
      </c>
      <c r="F423" s="6">
        <v>44155</v>
      </c>
      <c r="G423">
        <v>72</v>
      </c>
      <c r="H423" s="6">
        <v>46346</v>
      </c>
      <c r="I423" t="s">
        <v>888</v>
      </c>
    </row>
    <row r="424" spans="1:9" x14ac:dyDescent="0.3">
      <c r="A424" t="s">
        <v>1318</v>
      </c>
      <c r="B424" t="s">
        <v>884</v>
      </c>
      <c r="C424" t="s">
        <v>885</v>
      </c>
      <c r="D424" t="s">
        <v>886</v>
      </c>
      <c r="E424" t="s">
        <v>895</v>
      </c>
      <c r="F424" s="6">
        <v>44155</v>
      </c>
      <c r="G424">
        <v>72</v>
      </c>
      <c r="H424" s="6">
        <v>46346</v>
      </c>
      <c r="I424" t="s">
        <v>888</v>
      </c>
    </row>
    <row r="425" spans="1:9" x14ac:dyDescent="0.3">
      <c r="A425" t="s">
        <v>1319</v>
      </c>
      <c r="B425" t="s">
        <v>884</v>
      </c>
      <c r="C425" t="s">
        <v>885</v>
      </c>
      <c r="D425" t="s">
        <v>886</v>
      </c>
      <c r="E425" t="s">
        <v>895</v>
      </c>
      <c r="F425" s="6">
        <v>44155</v>
      </c>
      <c r="G425">
        <v>72</v>
      </c>
      <c r="H425" s="6">
        <v>46346</v>
      </c>
      <c r="I425" t="s">
        <v>888</v>
      </c>
    </row>
    <row r="426" spans="1:9" x14ac:dyDescent="0.3">
      <c r="A426" t="s">
        <v>1320</v>
      </c>
      <c r="B426" t="s">
        <v>884</v>
      </c>
      <c r="C426" t="s">
        <v>885</v>
      </c>
      <c r="D426" t="s">
        <v>886</v>
      </c>
      <c r="E426" t="s">
        <v>895</v>
      </c>
      <c r="F426" s="6">
        <v>44155</v>
      </c>
      <c r="G426">
        <v>72</v>
      </c>
      <c r="H426" s="6">
        <v>46346</v>
      </c>
      <c r="I426" t="s">
        <v>888</v>
      </c>
    </row>
    <row r="427" spans="1:9" x14ac:dyDescent="0.3">
      <c r="A427" t="s">
        <v>1321</v>
      </c>
      <c r="B427" t="s">
        <v>884</v>
      </c>
      <c r="C427" t="s">
        <v>885</v>
      </c>
      <c r="D427" t="s">
        <v>886</v>
      </c>
      <c r="E427" t="s">
        <v>895</v>
      </c>
      <c r="F427" s="6">
        <v>44155</v>
      </c>
      <c r="G427">
        <v>72</v>
      </c>
      <c r="H427" s="6">
        <v>46346</v>
      </c>
      <c r="I427" t="s">
        <v>888</v>
      </c>
    </row>
    <row r="428" spans="1:9" x14ac:dyDescent="0.3">
      <c r="A428" t="s">
        <v>1322</v>
      </c>
      <c r="B428" t="s">
        <v>884</v>
      </c>
      <c r="C428" t="s">
        <v>885</v>
      </c>
      <c r="D428" t="s">
        <v>886</v>
      </c>
      <c r="E428" t="s">
        <v>895</v>
      </c>
      <c r="F428" s="6">
        <v>44155</v>
      </c>
      <c r="G428">
        <v>72</v>
      </c>
      <c r="H428" s="6">
        <v>46346</v>
      </c>
      <c r="I428" t="s">
        <v>888</v>
      </c>
    </row>
    <row r="429" spans="1:9" x14ac:dyDescent="0.3">
      <c r="A429" t="s">
        <v>1323</v>
      </c>
      <c r="B429" t="s">
        <v>884</v>
      </c>
      <c r="C429" t="s">
        <v>885</v>
      </c>
      <c r="D429" t="s">
        <v>886</v>
      </c>
      <c r="E429" t="s">
        <v>895</v>
      </c>
      <c r="F429" s="6">
        <v>44155</v>
      </c>
      <c r="G429">
        <v>72</v>
      </c>
      <c r="H429" s="6">
        <v>46346</v>
      </c>
      <c r="I429" t="s">
        <v>888</v>
      </c>
    </row>
    <row r="430" spans="1:9" x14ac:dyDescent="0.3">
      <c r="A430" t="s">
        <v>1324</v>
      </c>
      <c r="B430" t="s">
        <v>884</v>
      </c>
      <c r="C430" t="s">
        <v>885</v>
      </c>
      <c r="D430" t="s">
        <v>886</v>
      </c>
      <c r="E430" t="s">
        <v>895</v>
      </c>
      <c r="F430" s="6">
        <v>44155</v>
      </c>
      <c r="G430">
        <v>72</v>
      </c>
      <c r="H430" s="6">
        <v>46346</v>
      </c>
      <c r="I430" t="s">
        <v>888</v>
      </c>
    </row>
    <row r="431" spans="1:9" x14ac:dyDescent="0.3">
      <c r="A431" t="s">
        <v>1325</v>
      </c>
      <c r="B431" t="s">
        <v>884</v>
      </c>
      <c r="C431" t="s">
        <v>885</v>
      </c>
      <c r="D431" t="s">
        <v>886</v>
      </c>
      <c r="E431" t="s">
        <v>895</v>
      </c>
      <c r="F431" s="6">
        <v>44155</v>
      </c>
      <c r="G431">
        <v>72</v>
      </c>
      <c r="H431" s="6">
        <v>46346</v>
      </c>
      <c r="I431" t="s">
        <v>888</v>
      </c>
    </row>
    <row r="432" spans="1:9" x14ac:dyDescent="0.3">
      <c r="A432" t="s">
        <v>1326</v>
      </c>
      <c r="B432" t="s">
        <v>884</v>
      </c>
      <c r="C432" t="s">
        <v>885</v>
      </c>
      <c r="D432" t="s">
        <v>886</v>
      </c>
      <c r="E432" t="s">
        <v>895</v>
      </c>
      <c r="F432" s="6">
        <v>44155</v>
      </c>
      <c r="G432">
        <v>72</v>
      </c>
      <c r="H432" s="6">
        <v>46346</v>
      </c>
      <c r="I432" t="s">
        <v>888</v>
      </c>
    </row>
    <row r="433" spans="1:9" x14ac:dyDescent="0.3">
      <c r="A433" t="s">
        <v>1327</v>
      </c>
      <c r="B433" t="s">
        <v>884</v>
      </c>
      <c r="C433" t="s">
        <v>885</v>
      </c>
      <c r="D433" t="s">
        <v>886</v>
      </c>
      <c r="E433" t="s">
        <v>895</v>
      </c>
      <c r="F433" s="6">
        <v>44155</v>
      </c>
      <c r="G433">
        <v>72</v>
      </c>
      <c r="H433" s="6">
        <v>46346</v>
      </c>
      <c r="I433" t="s">
        <v>888</v>
      </c>
    </row>
    <row r="434" spans="1:9" x14ac:dyDescent="0.3">
      <c r="A434" t="s">
        <v>1328</v>
      </c>
      <c r="B434" t="s">
        <v>884</v>
      </c>
      <c r="C434" t="s">
        <v>885</v>
      </c>
      <c r="D434" t="s">
        <v>886</v>
      </c>
      <c r="E434" t="s">
        <v>895</v>
      </c>
      <c r="F434" s="6">
        <v>44155</v>
      </c>
      <c r="G434">
        <v>72</v>
      </c>
      <c r="H434" s="6">
        <v>46346</v>
      </c>
      <c r="I434" t="s">
        <v>888</v>
      </c>
    </row>
    <row r="435" spans="1:9" x14ac:dyDescent="0.3">
      <c r="A435" t="s">
        <v>1329</v>
      </c>
      <c r="B435" t="s">
        <v>884</v>
      </c>
      <c r="C435" t="s">
        <v>885</v>
      </c>
      <c r="D435" t="s">
        <v>886</v>
      </c>
      <c r="E435" t="s">
        <v>895</v>
      </c>
      <c r="F435" s="6">
        <v>44155</v>
      </c>
      <c r="G435">
        <v>72</v>
      </c>
      <c r="H435" s="6">
        <v>46346</v>
      </c>
      <c r="I435" t="s">
        <v>888</v>
      </c>
    </row>
    <row r="436" spans="1:9" x14ac:dyDescent="0.3">
      <c r="A436" t="s">
        <v>1330</v>
      </c>
      <c r="B436" t="s">
        <v>884</v>
      </c>
      <c r="C436" t="s">
        <v>885</v>
      </c>
      <c r="D436" t="s">
        <v>886</v>
      </c>
      <c r="E436" t="s">
        <v>895</v>
      </c>
      <c r="F436" s="6">
        <v>44155</v>
      </c>
      <c r="G436">
        <v>72</v>
      </c>
      <c r="H436" s="6">
        <v>46346</v>
      </c>
      <c r="I436" t="s">
        <v>888</v>
      </c>
    </row>
    <row r="437" spans="1:9" x14ac:dyDescent="0.3">
      <c r="A437" t="s">
        <v>1331</v>
      </c>
      <c r="B437" t="s">
        <v>884</v>
      </c>
      <c r="C437" t="s">
        <v>885</v>
      </c>
      <c r="D437" t="s">
        <v>886</v>
      </c>
      <c r="E437" t="s">
        <v>895</v>
      </c>
      <c r="F437" s="6">
        <v>44155</v>
      </c>
      <c r="G437">
        <v>72</v>
      </c>
      <c r="H437" s="6">
        <v>46346</v>
      </c>
      <c r="I437" t="s">
        <v>888</v>
      </c>
    </row>
    <row r="438" spans="1:9" x14ac:dyDescent="0.3">
      <c r="A438" t="s">
        <v>1332</v>
      </c>
      <c r="B438" t="s">
        <v>884</v>
      </c>
      <c r="C438" t="s">
        <v>885</v>
      </c>
      <c r="D438" t="s">
        <v>886</v>
      </c>
      <c r="E438" t="s">
        <v>895</v>
      </c>
      <c r="F438" s="6">
        <v>44155</v>
      </c>
      <c r="G438">
        <v>72</v>
      </c>
      <c r="H438" s="6">
        <v>46346</v>
      </c>
      <c r="I438" t="s">
        <v>888</v>
      </c>
    </row>
    <row r="439" spans="1:9" x14ac:dyDescent="0.3">
      <c r="A439" t="s">
        <v>1333</v>
      </c>
      <c r="B439" t="s">
        <v>884</v>
      </c>
      <c r="C439" t="s">
        <v>885</v>
      </c>
      <c r="D439" t="s">
        <v>886</v>
      </c>
      <c r="E439" t="s">
        <v>895</v>
      </c>
      <c r="F439" s="6">
        <v>44709</v>
      </c>
      <c r="G439">
        <v>54</v>
      </c>
      <c r="H439" s="6">
        <v>46354</v>
      </c>
      <c r="I439" t="s">
        <v>888</v>
      </c>
    </row>
    <row r="440" spans="1:9" x14ac:dyDescent="0.3">
      <c r="A440" t="s">
        <v>1334</v>
      </c>
      <c r="B440" t="s">
        <v>884</v>
      </c>
      <c r="C440" t="s">
        <v>885</v>
      </c>
      <c r="D440" t="s">
        <v>886</v>
      </c>
      <c r="E440" t="s">
        <v>895</v>
      </c>
      <c r="F440" s="6">
        <v>44709</v>
      </c>
      <c r="G440">
        <v>54</v>
      </c>
      <c r="H440" s="6">
        <v>46354</v>
      </c>
      <c r="I440" t="s">
        <v>888</v>
      </c>
    </row>
    <row r="441" spans="1:9" x14ac:dyDescent="0.3">
      <c r="A441" t="s">
        <v>1335</v>
      </c>
      <c r="B441" t="s">
        <v>884</v>
      </c>
      <c r="C441" t="s">
        <v>885</v>
      </c>
      <c r="D441" t="s">
        <v>886</v>
      </c>
      <c r="E441" t="s">
        <v>895</v>
      </c>
      <c r="F441" s="6">
        <v>45869</v>
      </c>
      <c r="G441">
        <v>17</v>
      </c>
      <c r="H441" s="6">
        <v>46358</v>
      </c>
      <c r="I441" t="s">
        <v>888</v>
      </c>
    </row>
    <row r="442" spans="1:9" x14ac:dyDescent="0.3">
      <c r="A442" t="s">
        <v>1336</v>
      </c>
      <c r="B442" t="s">
        <v>884</v>
      </c>
      <c r="C442" t="s">
        <v>885</v>
      </c>
      <c r="D442" t="s">
        <v>909</v>
      </c>
      <c r="E442" t="s">
        <v>895</v>
      </c>
      <c r="F442" s="6">
        <v>44169</v>
      </c>
      <c r="G442">
        <v>72</v>
      </c>
      <c r="H442" s="6">
        <v>46360</v>
      </c>
      <c r="I442" t="s">
        <v>888</v>
      </c>
    </row>
    <row r="443" spans="1:9" x14ac:dyDescent="0.3">
      <c r="A443" t="s">
        <v>1337</v>
      </c>
      <c r="B443" t="s">
        <v>884</v>
      </c>
      <c r="C443" t="s">
        <v>885</v>
      </c>
      <c r="D443" t="s">
        <v>909</v>
      </c>
      <c r="E443" t="s">
        <v>895</v>
      </c>
      <c r="F443" s="6">
        <v>44169</v>
      </c>
      <c r="G443">
        <v>72</v>
      </c>
      <c r="H443" s="6">
        <v>46360</v>
      </c>
      <c r="I443" t="s">
        <v>888</v>
      </c>
    </row>
    <row r="444" spans="1:9" x14ac:dyDescent="0.3">
      <c r="A444" t="s">
        <v>1338</v>
      </c>
      <c r="B444" t="s">
        <v>884</v>
      </c>
      <c r="C444" t="s">
        <v>885</v>
      </c>
      <c r="D444" t="s">
        <v>886</v>
      </c>
      <c r="E444" t="s">
        <v>895</v>
      </c>
      <c r="F444" s="6">
        <v>44169</v>
      </c>
      <c r="G444">
        <v>72</v>
      </c>
      <c r="H444" s="6">
        <v>46360</v>
      </c>
      <c r="I444" t="s">
        <v>888</v>
      </c>
    </row>
    <row r="445" spans="1:9" x14ac:dyDescent="0.3">
      <c r="A445" t="s">
        <v>1339</v>
      </c>
      <c r="B445" t="s">
        <v>884</v>
      </c>
      <c r="C445" t="s">
        <v>885</v>
      </c>
      <c r="D445" t="s">
        <v>904</v>
      </c>
      <c r="E445" t="s">
        <v>895</v>
      </c>
      <c r="F445" s="6">
        <v>44169</v>
      </c>
      <c r="G445">
        <v>72</v>
      </c>
      <c r="H445" s="6">
        <v>46360</v>
      </c>
      <c r="I445" t="s">
        <v>888</v>
      </c>
    </row>
    <row r="446" spans="1:9" x14ac:dyDescent="0.3">
      <c r="A446" t="s">
        <v>1340</v>
      </c>
      <c r="B446" t="s">
        <v>884</v>
      </c>
      <c r="C446" t="s">
        <v>885</v>
      </c>
      <c r="D446" t="s">
        <v>904</v>
      </c>
      <c r="E446" t="s">
        <v>895</v>
      </c>
      <c r="F446" s="6">
        <v>45411</v>
      </c>
      <c r="G446">
        <v>32</v>
      </c>
      <c r="H446" s="6">
        <v>46371</v>
      </c>
      <c r="I446" t="s">
        <v>888</v>
      </c>
    </row>
    <row r="447" spans="1:9" x14ac:dyDescent="0.3">
      <c r="A447" t="s">
        <v>1341</v>
      </c>
      <c r="B447" t="s">
        <v>884</v>
      </c>
      <c r="C447" t="s">
        <v>885</v>
      </c>
      <c r="D447" t="s">
        <v>886</v>
      </c>
      <c r="E447" t="s">
        <v>895</v>
      </c>
      <c r="F447" s="6">
        <v>43451</v>
      </c>
      <c r="G447">
        <v>96</v>
      </c>
      <c r="H447" s="6">
        <v>46373</v>
      </c>
      <c r="I447" t="s">
        <v>888</v>
      </c>
    </row>
    <row r="448" spans="1:9" x14ac:dyDescent="0.3">
      <c r="A448" t="s">
        <v>1342</v>
      </c>
      <c r="B448" t="s">
        <v>884</v>
      </c>
      <c r="C448" t="s">
        <v>885</v>
      </c>
      <c r="D448" t="s">
        <v>886</v>
      </c>
      <c r="E448" t="s">
        <v>895</v>
      </c>
      <c r="F448" s="6">
        <v>44187</v>
      </c>
      <c r="G448">
        <v>72</v>
      </c>
      <c r="H448" s="6">
        <v>46378</v>
      </c>
      <c r="I448" t="s">
        <v>888</v>
      </c>
    </row>
    <row r="449" spans="1:9" x14ac:dyDescent="0.3">
      <c r="A449" t="s">
        <v>1343</v>
      </c>
      <c r="B449" t="s">
        <v>884</v>
      </c>
      <c r="C449" t="s">
        <v>885</v>
      </c>
      <c r="D449" t="s">
        <v>891</v>
      </c>
      <c r="E449" t="s">
        <v>895</v>
      </c>
      <c r="F449" s="6">
        <v>44188</v>
      </c>
      <c r="G449">
        <v>72</v>
      </c>
      <c r="H449" s="6">
        <v>46379</v>
      </c>
      <c r="I449" t="s">
        <v>888</v>
      </c>
    </row>
    <row r="450" spans="1:9" x14ac:dyDescent="0.3">
      <c r="A450" t="s">
        <v>1344</v>
      </c>
      <c r="B450" t="s">
        <v>884</v>
      </c>
      <c r="C450" t="s">
        <v>885</v>
      </c>
      <c r="D450" t="s">
        <v>886</v>
      </c>
      <c r="E450" t="s">
        <v>895</v>
      </c>
      <c r="F450" s="6">
        <v>44195</v>
      </c>
      <c r="G450">
        <v>72</v>
      </c>
      <c r="H450" s="6">
        <v>46386</v>
      </c>
      <c r="I450" t="s">
        <v>888</v>
      </c>
    </row>
    <row r="451" spans="1:9" x14ac:dyDescent="0.3">
      <c r="A451" t="s">
        <v>1345</v>
      </c>
      <c r="B451" t="s">
        <v>884</v>
      </c>
      <c r="C451" t="s">
        <v>885</v>
      </c>
      <c r="D451" t="s">
        <v>937</v>
      </c>
      <c r="E451" t="s">
        <v>895</v>
      </c>
      <c r="F451" s="6">
        <v>44209</v>
      </c>
      <c r="G451">
        <v>72</v>
      </c>
      <c r="H451" s="6">
        <v>46400</v>
      </c>
      <c r="I451" t="s">
        <v>888</v>
      </c>
    </row>
    <row r="452" spans="1:9" x14ac:dyDescent="0.3">
      <c r="A452" t="s">
        <v>1346</v>
      </c>
      <c r="B452" t="s">
        <v>884</v>
      </c>
      <c r="C452" t="s">
        <v>885</v>
      </c>
      <c r="D452" t="s">
        <v>886</v>
      </c>
      <c r="E452" t="s">
        <v>895</v>
      </c>
      <c r="F452" s="6">
        <v>44305</v>
      </c>
      <c r="G452">
        <v>69</v>
      </c>
      <c r="H452" s="6">
        <v>46406</v>
      </c>
      <c r="I452" t="s">
        <v>888</v>
      </c>
    </row>
    <row r="453" spans="1:9" x14ac:dyDescent="0.3">
      <c r="A453" t="s">
        <v>1347</v>
      </c>
      <c r="B453" t="s">
        <v>884</v>
      </c>
      <c r="C453" t="s">
        <v>885</v>
      </c>
      <c r="D453" t="s">
        <v>886</v>
      </c>
      <c r="E453" t="s">
        <v>895</v>
      </c>
      <c r="F453" s="6">
        <v>45690</v>
      </c>
      <c r="G453">
        <v>24</v>
      </c>
      <c r="H453" s="6">
        <v>46420</v>
      </c>
      <c r="I453" t="s">
        <v>888</v>
      </c>
    </row>
    <row r="454" spans="1:9" x14ac:dyDescent="0.3">
      <c r="A454" t="s">
        <v>1348</v>
      </c>
      <c r="B454" t="s">
        <v>884</v>
      </c>
      <c r="C454" t="s">
        <v>885</v>
      </c>
      <c r="D454" t="s">
        <v>886</v>
      </c>
      <c r="E454" t="s">
        <v>895</v>
      </c>
      <c r="F454" s="6">
        <v>45690</v>
      </c>
      <c r="G454">
        <v>24</v>
      </c>
      <c r="H454" s="6">
        <v>46420</v>
      </c>
      <c r="I454" t="s">
        <v>888</v>
      </c>
    </row>
    <row r="455" spans="1:9" x14ac:dyDescent="0.3">
      <c r="A455" t="s">
        <v>1349</v>
      </c>
      <c r="B455" t="s">
        <v>884</v>
      </c>
      <c r="C455" t="s">
        <v>885</v>
      </c>
      <c r="D455" t="s">
        <v>886</v>
      </c>
      <c r="E455" t="s">
        <v>895</v>
      </c>
      <c r="F455" s="6">
        <v>44344</v>
      </c>
      <c r="G455">
        <v>69</v>
      </c>
      <c r="H455" s="6">
        <v>46446</v>
      </c>
      <c r="I455" t="s">
        <v>888</v>
      </c>
    </row>
    <row r="456" spans="1:9" x14ac:dyDescent="0.3">
      <c r="A456" t="s">
        <v>1350</v>
      </c>
      <c r="B456" t="s">
        <v>884</v>
      </c>
      <c r="C456" t="s">
        <v>885</v>
      </c>
      <c r="D456" t="s">
        <v>904</v>
      </c>
      <c r="E456" t="s">
        <v>895</v>
      </c>
      <c r="F456" s="6">
        <v>44257</v>
      </c>
      <c r="G456">
        <v>72</v>
      </c>
      <c r="H456" s="6">
        <v>46448</v>
      </c>
      <c r="I456" t="s">
        <v>888</v>
      </c>
    </row>
    <row r="457" spans="1:9" x14ac:dyDescent="0.3">
      <c r="A457" t="s">
        <v>1351</v>
      </c>
      <c r="B457" t="s">
        <v>884</v>
      </c>
      <c r="C457" t="s">
        <v>885</v>
      </c>
      <c r="D457" t="s">
        <v>904</v>
      </c>
      <c r="E457" t="s">
        <v>895</v>
      </c>
      <c r="F457" s="6">
        <v>44257</v>
      </c>
      <c r="G457">
        <v>72</v>
      </c>
      <c r="H457" s="6">
        <v>46448</v>
      </c>
      <c r="I457" t="s">
        <v>888</v>
      </c>
    </row>
    <row r="458" spans="1:9" x14ac:dyDescent="0.3">
      <c r="A458" t="s">
        <v>1352</v>
      </c>
      <c r="B458" t="s">
        <v>884</v>
      </c>
      <c r="C458" t="s">
        <v>885</v>
      </c>
      <c r="D458" t="s">
        <v>886</v>
      </c>
      <c r="E458" t="s">
        <v>895</v>
      </c>
      <c r="F458" s="6">
        <v>44305</v>
      </c>
      <c r="G458">
        <v>72</v>
      </c>
      <c r="H458" s="6">
        <v>46496</v>
      </c>
      <c r="I458" t="s">
        <v>888</v>
      </c>
    </row>
    <row r="459" spans="1:9" x14ac:dyDescent="0.3">
      <c r="A459" t="s">
        <v>1353</v>
      </c>
      <c r="B459" t="s">
        <v>884</v>
      </c>
      <c r="C459" t="s">
        <v>885</v>
      </c>
      <c r="D459" t="s">
        <v>886</v>
      </c>
      <c r="E459" t="s">
        <v>895</v>
      </c>
      <c r="F459" s="6">
        <v>44309</v>
      </c>
      <c r="G459">
        <v>72</v>
      </c>
      <c r="H459" s="6">
        <v>46500</v>
      </c>
      <c r="I459" t="s">
        <v>888</v>
      </c>
    </row>
    <row r="460" spans="1:9" x14ac:dyDescent="0.3">
      <c r="A460" t="s">
        <v>1354</v>
      </c>
      <c r="B460" t="s">
        <v>884</v>
      </c>
      <c r="C460" t="s">
        <v>885</v>
      </c>
      <c r="D460" t="s">
        <v>886</v>
      </c>
      <c r="E460" t="s">
        <v>895</v>
      </c>
      <c r="F460" s="6">
        <v>44309</v>
      </c>
      <c r="G460">
        <v>72</v>
      </c>
      <c r="H460" s="6">
        <v>46500</v>
      </c>
      <c r="I460" t="s">
        <v>888</v>
      </c>
    </row>
    <row r="461" spans="1:9" x14ac:dyDescent="0.3">
      <c r="A461" t="s">
        <v>1355</v>
      </c>
      <c r="B461" t="s">
        <v>884</v>
      </c>
      <c r="C461" t="s">
        <v>885</v>
      </c>
      <c r="D461" t="s">
        <v>893</v>
      </c>
      <c r="E461" t="s">
        <v>895</v>
      </c>
      <c r="F461" s="6">
        <v>45596</v>
      </c>
      <c r="G461">
        <v>30</v>
      </c>
      <c r="H461" s="6">
        <v>46507</v>
      </c>
      <c r="I461" t="s">
        <v>888</v>
      </c>
    </row>
    <row r="462" spans="1:9" x14ac:dyDescent="0.3">
      <c r="A462" t="s">
        <v>1356</v>
      </c>
      <c r="B462" t="s">
        <v>884</v>
      </c>
      <c r="C462" t="s">
        <v>885</v>
      </c>
      <c r="D462" t="s">
        <v>886</v>
      </c>
      <c r="E462" t="s">
        <v>895</v>
      </c>
      <c r="F462" s="6">
        <v>44323</v>
      </c>
      <c r="G462">
        <v>72</v>
      </c>
      <c r="H462" s="6">
        <v>46514</v>
      </c>
      <c r="I462" t="s">
        <v>888</v>
      </c>
    </row>
    <row r="463" spans="1:9" x14ac:dyDescent="0.3">
      <c r="A463" t="s">
        <v>1357</v>
      </c>
      <c r="B463" t="s">
        <v>884</v>
      </c>
      <c r="C463" t="s">
        <v>885</v>
      </c>
      <c r="D463" t="s">
        <v>929</v>
      </c>
      <c r="E463" t="s">
        <v>895</v>
      </c>
      <c r="F463" s="6">
        <v>44145</v>
      </c>
      <c r="G463">
        <v>78</v>
      </c>
      <c r="H463" s="6">
        <v>46517</v>
      </c>
      <c r="I463" t="s">
        <v>888</v>
      </c>
    </row>
    <row r="464" spans="1:9" x14ac:dyDescent="0.3">
      <c r="A464" t="s">
        <v>1358</v>
      </c>
      <c r="B464" t="s">
        <v>884</v>
      </c>
      <c r="C464" t="s">
        <v>885</v>
      </c>
      <c r="D464" t="s">
        <v>929</v>
      </c>
      <c r="E464" t="s">
        <v>895</v>
      </c>
      <c r="F464" s="6">
        <v>44145</v>
      </c>
      <c r="G464">
        <v>78</v>
      </c>
      <c r="H464" s="6">
        <v>46517</v>
      </c>
      <c r="I464" t="s">
        <v>888</v>
      </c>
    </row>
    <row r="465" spans="1:9" x14ac:dyDescent="0.3">
      <c r="A465" t="s">
        <v>1359</v>
      </c>
      <c r="B465" t="s">
        <v>884</v>
      </c>
      <c r="C465" t="s">
        <v>885</v>
      </c>
      <c r="D465" t="s">
        <v>886</v>
      </c>
      <c r="E465" t="s">
        <v>895</v>
      </c>
      <c r="F465" s="6">
        <v>45424</v>
      </c>
      <c r="G465">
        <v>36</v>
      </c>
      <c r="H465" s="6">
        <v>46519</v>
      </c>
      <c r="I465" t="s">
        <v>888</v>
      </c>
    </row>
    <row r="466" spans="1:9" x14ac:dyDescent="0.3">
      <c r="A466" t="s">
        <v>1360</v>
      </c>
      <c r="B466" t="s">
        <v>884</v>
      </c>
      <c r="C466" t="s">
        <v>885</v>
      </c>
      <c r="D466" t="s">
        <v>886</v>
      </c>
      <c r="E466" t="s">
        <v>895</v>
      </c>
      <c r="F466" s="6">
        <v>45424</v>
      </c>
      <c r="G466">
        <v>36</v>
      </c>
      <c r="H466" s="6">
        <v>46519</v>
      </c>
      <c r="I466" t="s">
        <v>888</v>
      </c>
    </row>
    <row r="467" spans="1:9" x14ac:dyDescent="0.3">
      <c r="A467" t="s">
        <v>1361</v>
      </c>
      <c r="B467" t="s">
        <v>884</v>
      </c>
      <c r="C467" t="s">
        <v>885</v>
      </c>
      <c r="D467" t="s">
        <v>886</v>
      </c>
      <c r="E467" t="s">
        <v>895</v>
      </c>
      <c r="F467" s="6">
        <v>45424</v>
      </c>
      <c r="G467">
        <v>36</v>
      </c>
      <c r="H467" s="6">
        <v>46519</v>
      </c>
      <c r="I467" t="s">
        <v>888</v>
      </c>
    </row>
    <row r="468" spans="1:9" x14ac:dyDescent="0.3">
      <c r="A468" t="s">
        <v>1362</v>
      </c>
      <c r="B468" t="s">
        <v>884</v>
      </c>
      <c r="C468" t="s">
        <v>885</v>
      </c>
      <c r="D468" t="s">
        <v>886</v>
      </c>
      <c r="E468" t="s">
        <v>895</v>
      </c>
      <c r="F468" s="6">
        <v>45424</v>
      </c>
      <c r="G468">
        <v>36</v>
      </c>
      <c r="H468" s="6">
        <v>46519</v>
      </c>
      <c r="I468" t="s">
        <v>888</v>
      </c>
    </row>
    <row r="469" spans="1:9" x14ac:dyDescent="0.3">
      <c r="A469" t="s">
        <v>1363</v>
      </c>
      <c r="B469" t="s">
        <v>884</v>
      </c>
      <c r="C469" t="s">
        <v>885</v>
      </c>
      <c r="D469" t="s">
        <v>886</v>
      </c>
      <c r="E469" t="s">
        <v>895</v>
      </c>
      <c r="F469" s="6">
        <v>45424</v>
      </c>
      <c r="G469">
        <v>36</v>
      </c>
      <c r="H469" s="6">
        <v>46519</v>
      </c>
      <c r="I469" t="s">
        <v>888</v>
      </c>
    </row>
    <row r="470" spans="1:9" x14ac:dyDescent="0.3">
      <c r="A470" t="s">
        <v>1364</v>
      </c>
      <c r="B470" t="s">
        <v>884</v>
      </c>
      <c r="C470" t="s">
        <v>885</v>
      </c>
      <c r="D470" t="s">
        <v>886</v>
      </c>
      <c r="E470" t="s">
        <v>895</v>
      </c>
      <c r="F470" s="6">
        <v>45424</v>
      </c>
      <c r="G470">
        <v>36</v>
      </c>
      <c r="H470" s="6">
        <v>46519</v>
      </c>
      <c r="I470" t="s">
        <v>888</v>
      </c>
    </row>
    <row r="471" spans="1:9" x14ac:dyDescent="0.3">
      <c r="A471" t="s">
        <v>1365</v>
      </c>
      <c r="B471" t="s">
        <v>884</v>
      </c>
      <c r="C471" t="s">
        <v>885</v>
      </c>
      <c r="D471" t="s">
        <v>886</v>
      </c>
      <c r="E471" t="s">
        <v>895</v>
      </c>
      <c r="F471" s="6">
        <v>45424</v>
      </c>
      <c r="G471">
        <v>36</v>
      </c>
      <c r="H471" s="6">
        <v>46519</v>
      </c>
      <c r="I471" t="s">
        <v>888</v>
      </c>
    </row>
    <row r="472" spans="1:9" x14ac:dyDescent="0.3">
      <c r="A472" t="s">
        <v>1366</v>
      </c>
      <c r="B472" t="s">
        <v>884</v>
      </c>
      <c r="C472" t="s">
        <v>885</v>
      </c>
      <c r="D472" t="s">
        <v>886</v>
      </c>
      <c r="E472" t="s">
        <v>895</v>
      </c>
      <c r="F472" s="6">
        <v>45424</v>
      </c>
      <c r="G472">
        <v>36</v>
      </c>
      <c r="H472" s="6">
        <v>46519</v>
      </c>
      <c r="I472" t="s">
        <v>888</v>
      </c>
    </row>
    <row r="473" spans="1:9" x14ac:dyDescent="0.3">
      <c r="A473" t="s">
        <v>1367</v>
      </c>
      <c r="B473" t="s">
        <v>884</v>
      </c>
      <c r="C473" t="s">
        <v>885</v>
      </c>
      <c r="D473" t="s">
        <v>886</v>
      </c>
      <c r="E473" t="s">
        <v>895</v>
      </c>
      <c r="F473" s="6">
        <v>45424</v>
      </c>
      <c r="G473">
        <v>36</v>
      </c>
      <c r="H473" s="6">
        <v>46519</v>
      </c>
      <c r="I473" t="s">
        <v>888</v>
      </c>
    </row>
    <row r="474" spans="1:9" x14ac:dyDescent="0.3">
      <c r="A474" t="s">
        <v>1368</v>
      </c>
      <c r="B474" t="s">
        <v>884</v>
      </c>
      <c r="C474" t="s">
        <v>885</v>
      </c>
      <c r="D474" t="s">
        <v>886</v>
      </c>
      <c r="E474" t="s">
        <v>895</v>
      </c>
      <c r="F474" s="6">
        <v>45424</v>
      </c>
      <c r="G474">
        <v>36</v>
      </c>
      <c r="H474" s="6">
        <v>46519</v>
      </c>
      <c r="I474" t="s">
        <v>888</v>
      </c>
    </row>
    <row r="475" spans="1:9" x14ac:dyDescent="0.3">
      <c r="A475" t="s">
        <v>1369</v>
      </c>
      <c r="B475" t="s">
        <v>884</v>
      </c>
      <c r="C475" t="s">
        <v>885</v>
      </c>
      <c r="D475" t="s">
        <v>886</v>
      </c>
      <c r="E475" t="s">
        <v>895</v>
      </c>
      <c r="F475" s="6">
        <v>45424</v>
      </c>
      <c r="G475">
        <v>36</v>
      </c>
      <c r="H475" s="6">
        <v>46519</v>
      </c>
      <c r="I475" t="s">
        <v>888</v>
      </c>
    </row>
    <row r="476" spans="1:9" x14ac:dyDescent="0.3">
      <c r="A476" t="s">
        <v>1370</v>
      </c>
      <c r="B476" t="s">
        <v>884</v>
      </c>
      <c r="C476" t="s">
        <v>885</v>
      </c>
      <c r="D476" t="s">
        <v>886</v>
      </c>
      <c r="E476" t="s">
        <v>895</v>
      </c>
      <c r="F476" s="6">
        <v>45424</v>
      </c>
      <c r="G476">
        <v>36</v>
      </c>
      <c r="H476" s="6">
        <v>46519</v>
      </c>
      <c r="I476" t="s">
        <v>888</v>
      </c>
    </row>
    <row r="477" spans="1:9" x14ac:dyDescent="0.3">
      <c r="A477" t="s">
        <v>1371</v>
      </c>
      <c r="B477" t="s">
        <v>884</v>
      </c>
      <c r="C477" t="s">
        <v>885</v>
      </c>
      <c r="D477" t="s">
        <v>886</v>
      </c>
      <c r="E477" t="s">
        <v>895</v>
      </c>
      <c r="F477" s="6">
        <v>44335</v>
      </c>
      <c r="G477">
        <v>72</v>
      </c>
      <c r="H477" s="6">
        <v>46526</v>
      </c>
      <c r="I477" t="s">
        <v>888</v>
      </c>
    </row>
    <row r="478" spans="1:9" x14ac:dyDescent="0.3">
      <c r="A478" t="s">
        <v>1372</v>
      </c>
      <c r="B478" t="s">
        <v>884</v>
      </c>
      <c r="C478" t="s">
        <v>885</v>
      </c>
      <c r="D478" t="s">
        <v>893</v>
      </c>
      <c r="E478" t="s">
        <v>895</v>
      </c>
      <c r="F478" s="6">
        <v>44155</v>
      </c>
      <c r="G478">
        <v>78</v>
      </c>
      <c r="H478" s="6">
        <v>46527</v>
      </c>
      <c r="I478" t="s">
        <v>888</v>
      </c>
    </row>
    <row r="479" spans="1:9" x14ac:dyDescent="0.3">
      <c r="A479" t="s">
        <v>1373</v>
      </c>
      <c r="B479" t="s">
        <v>884</v>
      </c>
      <c r="C479" t="s">
        <v>885</v>
      </c>
      <c r="D479" t="s">
        <v>886</v>
      </c>
      <c r="E479" t="s">
        <v>895</v>
      </c>
      <c r="F479" s="6">
        <v>44155</v>
      </c>
      <c r="G479">
        <v>78</v>
      </c>
      <c r="H479" s="6">
        <v>46527</v>
      </c>
      <c r="I479" t="s">
        <v>888</v>
      </c>
    </row>
    <row r="480" spans="1:9" x14ac:dyDescent="0.3">
      <c r="A480" t="s">
        <v>1374</v>
      </c>
      <c r="B480" t="s">
        <v>884</v>
      </c>
      <c r="C480" t="s">
        <v>885</v>
      </c>
      <c r="D480" t="s">
        <v>886</v>
      </c>
      <c r="E480" t="s">
        <v>895</v>
      </c>
      <c r="F480" s="6">
        <v>44155</v>
      </c>
      <c r="G480">
        <v>78</v>
      </c>
      <c r="H480" s="6">
        <v>46527</v>
      </c>
      <c r="I480" t="s">
        <v>888</v>
      </c>
    </row>
    <row r="481" spans="1:9" x14ac:dyDescent="0.3">
      <c r="A481" t="s">
        <v>1375</v>
      </c>
      <c r="B481" t="s">
        <v>884</v>
      </c>
      <c r="C481" t="s">
        <v>885</v>
      </c>
      <c r="D481" t="s">
        <v>886</v>
      </c>
      <c r="E481" t="s">
        <v>895</v>
      </c>
      <c r="F481" s="6">
        <v>44155</v>
      </c>
      <c r="G481">
        <v>78</v>
      </c>
      <c r="H481" s="6">
        <v>46527</v>
      </c>
      <c r="I481" t="s">
        <v>888</v>
      </c>
    </row>
    <row r="482" spans="1:9" x14ac:dyDescent="0.3">
      <c r="A482" t="s">
        <v>1376</v>
      </c>
      <c r="B482" t="s">
        <v>884</v>
      </c>
      <c r="C482" t="s">
        <v>885</v>
      </c>
      <c r="D482" t="s">
        <v>886</v>
      </c>
      <c r="E482" t="s">
        <v>895</v>
      </c>
      <c r="F482" s="6">
        <v>44155</v>
      </c>
      <c r="G482">
        <v>78</v>
      </c>
      <c r="H482" s="6">
        <v>46527</v>
      </c>
      <c r="I482" t="s">
        <v>888</v>
      </c>
    </row>
    <row r="483" spans="1:9" x14ac:dyDescent="0.3">
      <c r="A483" t="s">
        <v>1377</v>
      </c>
      <c r="B483" t="s">
        <v>884</v>
      </c>
      <c r="C483" t="s">
        <v>885</v>
      </c>
      <c r="D483" t="s">
        <v>893</v>
      </c>
      <c r="E483" t="s">
        <v>895</v>
      </c>
      <c r="F483" s="6">
        <v>44155</v>
      </c>
      <c r="G483">
        <v>78</v>
      </c>
      <c r="H483" s="6">
        <v>46527</v>
      </c>
      <c r="I483" t="s">
        <v>888</v>
      </c>
    </row>
    <row r="484" spans="1:9" x14ac:dyDescent="0.3">
      <c r="A484" t="s">
        <v>1378</v>
      </c>
      <c r="B484" t="s">
        <v>884</v>
      </c>
      <c r="C484" t="s">
        <v>885</v>
      </c>
      <c r="D484" t="s">
        <v>937</v>
      </c>
      <c r="E484" t="s">
        <v>895</v>
      </c>
      <c r="F484" s="6">
        <v>45436</v>
      </c>
      <c r="G484">
        <v>36</v>
      </c>
      <c r="H484" s="6">
        <v>46531</v>
      </c>
      <c r="I484" t="s">
        <v>888</v>
      </c>
    </row>
    <row r="485" spans="1:9" x14ac:dyDescent="0.3">
      <c r="A485" t="s">
        <v>1379</v>
      </c>
      <c r="B485" t="s">
        <v>884</v>
      </c>
      <c r="C485" t="s">
        <v>885</v>
      </c>
      <c r="D485" t="s">
        <v>937</v>
      </c>
      <c r="E485" t="s">
        <v>895</v>
      </c>
      <c r="F485" s="6">
        <v>45436</v>
      </c>
      <c r="G485">
        <v>36</v>
      </c>
      <c r="H485" s="6">
        <v>46531</v>
      </c>
      <c r="I485" t="s">
        <v>888</v>
      </c>
    </row>
    <row r="486" spans="1:9" x14ac:dyDescent="0.3">
      <c r="A486" t="s">
        <v>1380</v>
      </c>
      <c r="B486" t="s">
        <v>884</v>
      </c>
      <c r="C486" t="s">
        <v>885</v>
      </c>
      <c r="D486" t="s">
        <v>937</v>
      </c>
      <c r="E486" t="s">
        <v>895</v>
      </c>
      <c r="F486" s="6">
        <v>45436</v>
      </c>
      <c r="G486">
        <v>36</v>
      </c>
      <c r="H486" s="6">
        <v>46531</v>
      </c>
      <c r="I486" t="s">
        <v>888</v>
      </c>
    </row>
    <row r="487" spans="1:9" x14ac:dyDescent="0.3">
      <c r="A487" t="s">
        <v>1381</v>
      </c>
      <c r="B487" t="s">
        <v>884</v>
      </c>
      <c r="C487" t="s">
        <v>885</v>
      </c>
      <c r="D487" t="s">
        <v>893</v>
      </c>
      <c r="E487" t="s">
        <v>895</v>
      </c>
      <c r="F487" s="6">
        <v>45436</v>
      </c>
      <c r="G487">
        <v>36</v>
      </c>
      <c r="H487" s="6">
        <v>46531</v>
      </c>
      <c r="I487" t="s">
        <v>888</v>
      </c>
    </row>
    <row r="488" spans="1:9" x14ac:dyDescent="0.3">
      <c r="A488" t="s">
        <v>1382</v>
      </c>
      <c r="B488" t="s">
        <v>884</v>
      </c>
      <c r="C488" t="s">
        <v>885</v>
      </c>
      <c r="D488" t="s">
        <v>893</v>
      </c>
      <c r="E488" t="s">
        <v>895</v>
      </c>
      <c r="F488" s="6">
        <v>45436</v>
      </c>
      <c r="G488">
        <v>36</v>
      </c>
      <c r="H488" s="6">
        <v>46531</v>
      </c>
      <c r="I488" t="s">
        <v>888</v>
      </c>
    </row>
    <row r="489" spans="1:9" x14ac:dyDescent="0.3">
      <c r="A489" t="s">
        <v>1383</v>
      </c>
      <c r="B489" t="s">
        <v>884</v>
      </c>
      <c r="C489" t="s">
        <v>885</v>
      </c>
      <c r="D489" t="s">
        <v>893</v>
      </c>
      <c r="E489" t="s">
        <v>895</v>
      </c>
      <c r="F489" s="6">
        <v>45436</v>
      </c>
      <c r="G489">
        <v>36</v>
      </c>
      <c r="H489" s="6">
        <v>46531</v>
      </c>
      <c r="I489" t="s">
        <v>888</v>
      </c>
    </row>
    <row r="490" spans="1:9" x14ac:dyDescent="0.3">
      <c r="A490" t="s">
        <v>1384</v>
      </c>
      <c r="B490" t="s">
        <v>884</v>
      </c>
      <c r="C490" t="s">
        <v>885</v>
      </c>
      <c r="D490" t="s">
        <v>893</v>
      </c>
      <c r="E490" t="s">
        <v>895</v>
      </c>
      <c r="F490" s="6">
        <v>45436</v>
      </c>
      <c r="G490">
        <v>36</v>
      </c>
      <c r="H490" s="6">
        <v>46531</v>
      </c>
      <c r="I490" t="s">
        <v>888</v>
      </c>
    </row>
    <row r="491" spans="1:9" x14ac:dyDescent="0.3">
      <c r="A491" t="s">
        <v>1385</v>
      </c>
      <c r="B491" t="s">
        <v>884</v>
      </c>
      <c r="C491" t="s">
        <v>885</v>
      </c>
      <c r="D491" t="s">
        <v>893</v>
      </c>
      <c r="E491" t="s">
        <v>895</v>
      </c>
      <c r="F491" s="6">
        <v>45436</v>
      </c>
      <c r="G491">
        <v>36</v>
      </c>
      <c r="H491" s="6">
        <v>46531</v>
      </c>
      <c r="I491" t="s">
        <v>888</v>
      </c>
    </row>
    <row r="492" spans="1:9" x14ac:dyDescent="0.3">
      <c r="A492" t="s">
        <v>1386</v>
      </c>
      <c r="B492" t="s">
        <v>884</v>
      </c>
      <c r="C492" t="s">
        <v>885</v>
      </c>
      <c r="D492" t="s">
        <v>937</v>
      </c>
      <c r="E492" t="s">
        <v>895</v>
      </c>
      <c r="F492" s="6">
        <v>45436</v>
      </c>
      <c r="G492">
        <v>36</v>
      </c>
      <c r="H492" s="6">
        <v>46531</v>
      </c>
      <c r="I492" t="s">
        <v>888</v>
      </c>
    </row>
    <row r="493" spans="1:9" x14ac:dyDescent="0.3">
      <c r="A493" t="s">
        <v>1387</v>
      </c>
      <c r="B493" t="s">
        <v>884</v>
      </c>
      <c r="C493" t="s">
        <v>885</v>
      </c>
      <c r="D493" t="s">
        <v>886</v>
      </c>
      <c r="E493" t="s">
        <v>895</v>
      </c>
      <c r="F493" s="6">
        <v>44342</v>
      </c>
      <c r="G493">
        <v>72</v>
      </c>
      <c r="H493" s="6">
        <v>46533</v>
      </c>
      <c r="I493" t="s">
        <v>888</v>
      </c>
    </row>
    <row r="494" spans="1:9" x14ac:dyDescent="0.3">
      <c r="A494" t="s">
        <v>1388</v>
      </c>
      <c r="B494" t="s">
        <v>884</v>
      </c>
      <c r="C494" t="s">
        <v>885</v>
      </c>
      <c r="D494" t="s">
        <v>886</v>
      </c>
      <c r="E494" t="s">
        <v>895</v>
      </c>
      <c r="F494" s="6">
        <v>44342</v>
      </c>
      <c r="G494">
        <v>72</v>
      </c>
      <c r="H494" s="6">
        <v>46533</v>
      </c>
      <c r="I494" t="s">
        <v>888</v>
      </c>
    </row>
    <row r="495" spans="1:9" x14ac:dyDescent="0.3">
      <c r="A495" t="s">
        <v>1389</v>
      </c>
      <c r="B495" t="s">
        <v>884</v>
      </c>
      <c r="C495" t="s">
        <v>885</v>
      </c>
      <c r="D495" t="s">
        <v>886</v>
      </c>
      <c r="E495" t="s">
        <v>895</v>
      </c>
      <c r="F495" s="6">
        <v>44343</v>
      </c>
      <c r="G495">
        <v>72</v>
      </c>
      <c r="H495" s="6">
        <v>46534</v>
      </c>
      <c r="I495" t="s">
        <v>888</v>
      </c>
    </row>
    <row r="496" spans="1:9" x14ac:dyDescent="0.3">
      <c r="A496" t="s">
        <v>1390</v>
      </c>
      <c r="B496" t="s">
        <v>884</v>
      </c>
      <c r="C496" t="s">
        <v>885</v>
      </c>
      <c r="D496" t="s">
        <v>886</v>
      </c>
      <c r="E496" t="s">
        <v>895</v>
      </c>
      <c r="F496" s="6">
        <v>44351</v>
      </c>
      <c r="G496">
        <v>72</v>
      </c>
      <c r="H496" s="6">
        <v>46542</v>
      </c>
      <c r="I496" t="s">
        <v>888</v>
      </c>
    </row>
    <row r="497" spans="1:9" x14ac:dyDescent="0.3">
      <c r="A497" t="s">
        <v>1391</v>
      </c>
      <c r="B497" t="s">
        <v>884</v>
      </c>
      <c r="C497" t="s">
        <v>885</v>
      </c>
      <c r="D497" t="s">
        <v>893</v>
      </c>
      <c r="E497" t="s">
        <v>895</v>
      </c>
      <c r="F497" s="6">
        <v>44351</v>
      </c>
      <c r="G497">
        <v>72</v>
      </c>
      <c r="H497" s="6">
        <v>46542</v>
      </c>
      <c r="I497" t="s">
        <v>888</v>
      </c>
    </row>
    <row r="498" spans="1:9" x14ac:dyDescent="0.3">
      <c r="A498" t="s">
        <v>1392</v>
      </c>
      <c r="B498" t="s">
        <v>884</v>
      </c>
      <c r="C498" t="s">
        <v>885</v>
      </c>
      <c r="D498" t="s">
        <v>886</v>
      </c>
      <c r="E498" t="s">
        <v>895</v>
      </c>
      <c r="F498" s="6">
        <v>42160</v>
      </c>
      <c r="G498">
        <v>144</v>
      </c>
      <c r="H498" s="6">
        <v>46543</v>
      </c>
      <c r="I498" t="s">
        <v>888</v>
      </c>
    </row>
    <row r="499" spans="1:9" x14ac:dyDescent="0.3">
      <c r="A499" t="s">
        <v>1393</v>
      </c>
      <c r="B499" t="s">
        <v>884</v>
      </c>
      <c r="C499" t="s">
        <v>885</v>
      </c>
      <c r="D499" t="s">
        <v>886</v>
      </c>
      <c r="E499" t="s">
        <v>895</v>
      </c>
      <c r="F499" s="6">
        <v>44356</v>
      </c>
      <c r="G499">
        <v>72</v>
      </c>
      <c r="H499" s="6">
        <v>46547</v>
      </c>
      <c r="I499" t="s">
        <v>888</v>
      </c>
    </row>
    <row r="500" spans="1:9" x14ac:dyDescent="0.3">
      <c r="A500" t="s">
        <v>1394</v>
      </c>
      <c r="B500" t="s">
        <v>884</v>
      </c>
      <c r="C500" t="s">
        <v>885</v>
      </c>
      <c r="D500" t="s">
        <v>886</v>
      </c>
      <c r="E500" t="s">
        <v>895</v>
      </c>
      <c r="F500" s="6">
        <v>44363</v>
      </c>
      <c r="G500">
        <v>72</v>
      </c>
      <c r="H500" s="6">
        <v>46554</v>
      </c>
      <c r="I500" t="s">
        <v>888</v>
      </c>
    </row>
    <row r="501" spans="1:9" x14ac:dyDescent="0.3">
      <c r="A501" t="s">
        <v>1395</v>
      </c>
      <c r="B501" t="s">
        <v>884</v>
      </c>
      <c r="C501" t="s">
        <v>885</v>
      </c>
      <c r="D501" t="s">
        <v>937</v>
      </c>
      <c r="E501" t="s">
        <v>895</v>
      </c>
      <c r="F501" s="6">
        <v>44383</v>
      </c>
      <c r="G501">
        <v>72</v>
      </c>
      <c r="H501" s="6">
        <v>46574</v>
      </c>
      <c r="I501" t="s">
        <v>888</v>
      </c>
    </row>
    <row r="502" spans="1:9" x14ac:dyDescent="0.3">
      <c r="A502" t="s">
        <v>1396</v>
      </c>
      <c r="B502" t="s">
        <v>884</v>
      </c>
      <c r="C502" t="s">
        <v>885</v>
      </c>
      <c r="D502" t="s">
        <v>886</v>
      </c>
      <c r="E502" t="s">
        <v>895</v>
      </c>
      <c r="F502" s="6">
        <v>44384</v>
      </c>
      <c r="G502">
        <v>72</v>
      </c>
      <c r="H502" s="6">
        <v>46575</v>
      </c>
      <c r="I502" t="s">
        <v>888</v>
      </c>
    </row>
    <row r="503" spans="1:9" x14ac:dyDescent="0.3">
      <c r="A503" t="s">
        <v>1397</v>
      </c>
      <c r="B503" t="s">
        <v>884</v>
      </c>
      <c r="C503" t="s">
        <v>885</v>
      </c>
      <c r="D503" t="s">
        <v>937</v>
      </c>
      <c r="E503" t="s">
        <v>895</v>
      </c>
      <c r="F503" s="6">
        <v>45489</v>
      </c>
      <c r="G503">
        <v>36</v>
      </c>
      <c r="H503" s="6">
        <v>46584</v>
      </c>
      <c r="I503" t="s">
        <v>888</v>
      </c>
    </row>
    <row r="504" spans="1:9" x14ac:dyDescent="0.3">
      <c r="A504" t="s">
        <v>1398</v>
      </c>
      <c r="B504" t="s">
        <v>884</v>
      </c>
      <c r="C504" t="s">
        <v>885</v>
      </c>
      <c r="D504" t="s">
        <v>937</v>
      </c>
      <c r="E504" t="s">
        <v>895</v>
      </c>
      <c r="F504" s="6">
        <v>45489</v>
      </c>
      <c r="G504">
        <v>36</v>
      </c>
      <c r="H504" s="6">
        <v>46584</v>
      </c>
      <c r="I504" t="s">
        <v>888</v>
      </c>
    </row>
    <row r="505" spans="1:9" x14ac:dyDescent="0.3">
      <c r="A505" t="s">
        <v>1399</v>
      </c>
      <c r="B505" t="s">
        <v>884</v>
      </c>
      <c r="C505" t="s">
        <v>885</v>
      </c>
      <c r="D505" t="s">
        <v>904</v>
      </c>
      <c r="E505" t="s">
        <v>895</v>
      </c>
      <c r="F505" s="6">
        <v>43850</v>
      </c>
      <c r="G505">
        <v>90</v>
      </c>
      <c r="H505" s="6">
        <v>46588</v>
      </c>
      <c r="I505" t="s">
        <v>888</v>
      </c>
    </row>
    <row r="506" spans="1:9" x14ac:dyDescent="0.3">
      <c r="A506" t="s">
        <v>1400</v>
      </c>
      <c r="B506" t="s">
        <v>884</v>
      </c>
      <c r="C506" t="s">
        <v>885</v>
      </c>
      <c r="D506" t="s">
        <v>886</v>
      </c>
      <c r="E506" t="s">
        <v>895</v>
      </c>
      <c r="F506" s="6">
        <v>44155</v>
      </c>
      <c r="G506">
        <v>80</v>
      </c>
      <c r="H506" s="6">
        <v>46588</v>
      </c>
      <c r="I506" t="s">
        <v>888</v>
      </c>
    </row>
    <row r="507" spans="1:9" x14ac:dyDescent="0.3">
      <c r="A507" t="s">
        <v>1401</v>
      </c>
      <c r="B507" t="s">
        <v>884</v>
      </c>
      <c r="C507" t="s">
        <v>885</v>
      </c>
      <c r="D507" t="s">
        <v>909</v>
      </c>
      <c r="E507" t="s">
        <v>895</v>
      </c>
      <c r="F507" s="6">
        <v>40747</v>
      </c>
      <c r="G507">
        <v>192</v>
      </c>
      <c r="H507" s="6">
        <v>46591</v>
      </c>
      <c r="I507" t="s">
        <v>888</v>
      </c>
    </row>
    <row r="508" spans="1:9" x14ac:dyDescent="0.3">
      <c r="A508" t="s">
        <v>1402</v>
      </c>
      <c r="B508" t="s">
        <v>884</v>
      </c>
      <c r="C508" t="s">
        <v>885</v>
      </c>
      <c r="D508" t="s">
        <v>891</v>
      </c>
      <c r="E508" t="s">
        <v>895</v>
      </c>
      <c r="F508" s="6">
        <v>45131</v>
      </c>
      <c r="G508">
        <v>48</v>
      </c>
      <c r="H508" s="6">
        <v>46592</v>
      </c>
      <c r="I508" t="s">
        <v>888</v>
      </c>
    </row>
    <row r="509" spans="1:9" x14ac:dyDescent="0.3">
      <c r="A509" t="s">
        <v>1403</v>
      </c>
      <c r="B509" t="s">
        <v>884</v>
      </c>
      <c r="C509" t="s">
        <v>885</v>
      </c>
      <c r="D509" t="s">
        <v>909</v>
      </c>
      <c r="E509" t="s">
        <v>895</v>
      </c>
      <c r="F509" s="6">
        <v>40752</v>
      </c>
      <c r="G509">
        <v>192</v>
      </c>
      <c r="H509" s="6">
        <v>46596</v>
      </c>
      <c r="I509" t="s">
        <v>888</v>
      </c>
    </row>
    <row r="510" spans="1:9" x14ac:dyDescent="0.3">
      <c r="A510" t="s">
        <v>1404</v>
      </c>
      <c r="B510" t="s">
        <v>884</v>
      </c>
      <c r="C510" t="s">
        <v>885</v>
      </c>
      <c r="D510" t="s">
        <v>886</v>
      </c>
      <c r="E510" t="s">
        <v>895</v>
      </c>
      <c r="F510" s="6">
        <v>40756</v>
      </c>
      <c r="G510">
        <v>192</v>
      </c>
      <c r="H510" s="6">
        <v>46600</v>
      </c>
      <c r="I510" t="s">
        <v>888</v>
      </c>
    </row>
    <row r="511" spans="1:9" x14ac:dyDescent="0.3">
      <c r="A511" t="s">
        <v>1405</v>
      </c>
      <c r="B511" t="s">
        <v>884</v>
      </c>
      <c r="C511" t="s">
        <v>885</v>
      </c>
      <c r="D511" t="s">
        <v>886</v>
      </c>
      <c r="E511" t="s">
        <v>895</v>
      </c>
      <c r="F511" s="6">
        <v>40770</v>
      </c>
      <c r="G511">
        <v>192</v>
      </c>
      <c r="H511" s="6">
        <v>46614</v>
      </c>
      <c r="I511" t="s">
        <v>888</v>
      </c>
    </row>
    <row r="512" spans="1:9" x14ac:dyDescent="0.3">
      <c r="A512" t="s">
        <v>1406</v>
      </c>
      <c r="B512" t="s">
        <v>884</v>
      </c>
      <c r="C512" t="s">
        <v>885</v>
      </c>
      <c r="D512" t="s">
        <v>904</v>
      </c>
      <c r="E512" t="s">
        <v>895</v>
      </c>
      <c r="F512" s="6">
        <v>43850</v>
      </c>
      <c r="G512">
        <v>91</v>
      </c>
      <c r="H512" s="6">
        <v>46619</v>
      </c>
      <c r="I512" t="s">
        <v>888</v>
      </c>
    </row>
    <row r="513" spans="1:9" x14ac:dyDescent="0.3">
      <c r="A513" t="s">
        <v>1407</v>
      </c>
      <c r="B513" t="s">
        <v>884</v>
      </c>
      <c r="C513" t="s">
        <v>885</v>
      </c>
      <c r="D513" t="s">
        <v>891</v>
      </c>
      <c r="E513" t="s">
        <v>895</v>
      </c>
      <c r="F513" s="6">
        <v>40777</v>
      </c>
      <c r="G513">
        <v>192</v>
      </c>
      <c r="H513" s="6">
        <v>46621</v>
      </c>
      <c r="I513" t="s">
        <v>888</v>
      </c>
    </row>
    <row r="514" spans="1:9" x14ac:dyDescent="0.3">
      <c r="A514" t="s">
        <v>1408</v>
      </c>
      <c r="B514" t="s">
        <v>884</v>
      </c>
      <c r="C514" t="s">
        <v>885</v>
      </c>
      <c r="D514" t="s">
        <v>893</v>
      </c>
      <c r="E514" t="s">
        <v>895</v>
      </c>
      <c r="F514" s="6">
        <v>42604</v>
      </c>
      <c r="G514">
        <v>132</v>
      </c>
      <c r="H514" s="6">
        <v>46621</v>
      </c>
      <c r="I514" t="s">
        <v>888</v>
      </c>
    </row>
    <row r="515" spans="1:9" x14ac:dyDescent="0.3">
      <c r="A515" t="s">
        <v>1409</v>
      </c>
      <c r="B515" t="s">
        <v>884</v>
      </c>
      <c r="C515" t="s">
        <v>885</v>
      </c>
      <c r="D515" t="s">
        <v>891</v>
      </c>
      <c r="E515" t="s">
        <v>895</v>
      </c>
      <c r="F515" s="6">
        <v>40778</v>
      </c>
      <c r="G515">
        <v>192</v>
      </c>
      <c r="H515" s="6">
        <v>46622</v>
      </c>
      <c r="I515" t="s">
        <v>888</v>
      </c>
    </row>
    <row r="516" spans="1:9" x14ac:dyDescent="0.3">
      <c r="A516" t="s">
        <v>1410</v>
      </c>
      <c r="B516" t="s">
        <v>884</v>
      </c>
      <c r="C516" t="s">
        <v>885</v>
      </c>
      <c r="D516" t="s">
        <v>891</v>
      </c>
      <c r="E516" t="s">
        <v>895</v>
      </c>
      <c r="F516" s="6">
        <v>40778</v>
      </c>
      <c r="G516">
        <v>192</v>
      </c>
      <c r="H516" s="6">
        <v>46622</v>
      </c>
      <c r="I516" t="s">
        <v>888</v>
      </c>
    </row>
    <row r="517" spans="1:9" x14ac:dyDescent="0.3">
      <c r="A517" t="s">
        <v>1411</v>
      </c>
      <c r="B517" t="s">
        <v>884</v>
      </c>
      <c r="C517" t="s">
        <v>885</v>
      </c>
      <c r="D517" t="s">
        <v>886</v>
      </c>
      <c r="E517" t="s">
        <v>895</v>
      </c>
      <c r="F517" s="6">
        <v>45532</v>
      </c>
      <c r="G517">
        <v>36</v>
      </c>
      <c r="H517" s="6">
        <v>46627</v>
      </c>
      <c r="I517" t="s">
        <v>888</v>
      </c>
    </row>
    <row r="518" spans="1:9" x14ac:dyDescent="0.3">
      <c r="A518" t="s">
        <v>1412</v>
      </c>
      <c r="B518" t="s">
        <v>884</v>
      </c>
      <c r="C518" t="s">
        <v>885</v>
      </c>
      <c r="D518" t="s">
        <v>886</v>
      </c>
      <c r="E518" t="s">
        <v>895</v>
      </c>
      <c r="F518" s="6">
        <v>43707</v>
      </c>
      <c r="G518">
        <v>96</v>
      </c>
      <c r="H518" s="6">
        <v>46629</v>
      </c>
      <c r="I518" t="s">
        <v>888</v>
      </c>
    </row>
    <row r="519" spans="1:9" x14ac:dyDescent="0.3">
      <c r="A519" t="s">
        <v>1413</v>
      </c>
      <c r="B519" t="s">
        <v>884</v>
      </c>
      <c r="C519" t="s">
        <v>885</v>
      </c>
      <c r="D519" t="s">
        <v>886</v>
      </c>
      <c r="E519" t="s">
        <v>895</v>
      </c>
      <c r="F519" s="6">
        <v>42251</v>
      </c>
      <c r="G519">
        <v>144</v>
      </c>
      <c r="H519" s="6">
        <v>46634</v>
      </c>
      <c r="I519" t="s">
        <v>888</v>
      </c>
    </row>
    <row r="520" spans="1:9" x14ac:dyDescent="0.3">
      <c r="A520" t="s">
        <v>1414</v>
      </c>
      <c r="B520" t="s">
        <v>884</v>
      </c>
      <c r="C520" t="s">
        <v>885</v>
      </c>
      <c r="D520" t="s">
        <v>937</v>
      </c>
      <c r="E520" t="s">
        <v>895</v>
      </c>
      <c r="F520" s="6">
        <v>42251</v>
      </c>
      <c r="G520">
        <v>144</v>
      </c>
      <c r="H520" s="6">
        <v>46634</v>
      </c>
      <c r="I520" t="s">
        <v>888</v>
      </c>
    </row>
    <row r="521" spans="1:9" x14ac:dyDescent="0.3">
      <c r="A521" t="s">
        <v>1415</v>
      </c>
      <c r="B521" t="s">
        <v>884</v>
      </c>
      <c r="C521" t="s">
        <v>885</v>
      </c>
      <c r="D521" t="s">
        <v>886</v>
      </c>
      <c r="E521" t="s">
        <v>895</v>
      </c>
      <c r="F521" s="6">
        <v>42251</v>
      </c>
      <c r="G521">
        <v>144</v>
      </c>
      <c r="H521" s="6">
        <v>46634</v>
      </c>
      <c r="I521" t="s">
        <v>888</v>
      </c>
    </row>
    <row r="522" spans="1:9" x14ac:dyDescent="0.3">
      <c r="A522" t="s">
        <v>1416</v>
      </c>
      <c r="B522" t="s">
        <v>884</v>
      </c>
      <c r="C522" t="s">
        <v>885</v>
      </c>
      <c r="D522" t="s">
        <v>886</v>
      </c>
      <c r="E522" t="s">
        <v>895</v>
      </c>
      <c r="F522" s="6">
        <v>42251</v>
      </c>
      <c r="G522">
        <v>144</v>
      </c>
      <c r="H522" s="6">
        <v>46634</v>
      </c>
      <c r="I522" t="s">
        <v>888</v>
      </c>
    </row>
    <row r="523" spans="1:9" x14ac:dyDescent="0.3">
      <c r="A523" t="s">
        <v>1417</v>
      </c>
      <c r="B523" t="s">
        <v>884</v>
      </c>
      <c r="C523" t="s">
        <v>885</v>
      </c>
      <c r="D523" t="s">
        <v>886</v>
      </c>
      <c r="E523" t="s">
        <v>895</v>
      </c>
      <c r="F523" s="6">
        <v>42251</v>
      </c>
      <c r="G523">
        <v>144</v>
      </c>
      <c r="H523" s="6">
        <v>46634</v>
      </c>
      <c r="I523" t="s">
        <v>888</v>
      </c>
    </row>
    <row r="524" spans="1:9" x14ac:dyDescent="0.3">
      <c r="A524" t="s">
        <v>1418</v>
      </c>
      <c r="B524" t="s">
        <v>884</v>
      </c>
      <c r="C524" t="s">
        <v>885</v>
      </c>
      <c r="D524" t="s">
        <v>886</v>
      </c>
      <c r="E524" t="s">
        <v>895</v>
      </c>
      <c r="F524" s="6">
        <v>42251</v>
      </c>
      <c r="G524">
        <v>144</v>
      </c>
      <c r="H524" s="6">
        <v>46634</v>
      </c>
      <c r="I524" t="s">
        <v>888</v>
      </c>
    </row>
    <row r="525" spans="1:9" x14ac:dyDescent="0.3">
      <c r="A525" t="s">
        <v>1419</v>
      </c>
      <c r="B525" t="s">
        <v>884</v>
      </c>
      <c r="C525" t="s">
        <v>885</v>
      </c>
      <c r="D525" t="s">
        <v>886</v>
      </c>
      <c r="E525" t="s">
        <v>895</v>
      </c>
      <c r="F525" s="6">
        <v>42251</v>
      </c>
      <c r="G525">
        <v>144</v>
      </c>
      <c r="H525" s="6">
        <v>46634</v>
      </c>
      <c r="I525" t="s">
        <v>888</v>
      </c>
    </row>
    <row r="526" spans="1:9" x14ac:dyDescent="0.3">
      <c r="A526" t="s">
        <v>1420</v>
      </c>
      <c r="B526" t="s">
        <v>884</v>
      </c>
      <c r="C526" t="s">
        <v>885</v>
      </c>
      <c r="D526" t="s">
        <v>893</v>
      </c>
      <c r="E526" t="s">
        <v>895</v>
      </c>
      <c r="F526" s="6">
        <v>42251</v>
      </c>
      <c r="G526">
        <v>144</v>
      </c>
      <c r="H526" s="6">
        <v>46634</v>
      </c>
      <c r="I526" t="s">
        <v>888</v>
      </c>
    </row>
    <row r="527" spans="1:9" x14ac:dyDescent="0.3">
      <c r="A527" t="s">
        <v>1421</v>
      </c>
      <c r="B527" t="s">
        <v>884</v>
      </c>
      <c r="C527" t="s">
        <v>885</v>
      </c>
      <c r="D527" t="s">
        <v>886</v>
      </c>
      <c r="E527" t="s">
        <v>895</v>
      </c>
      <c r="F527" s="6">
        <v>42251</v>
      </c>
      <c r="G527">
        <v>144</v>
      </c>
      <c r="H527" s="6">
        <v>46634</v>
      </c>
      <c r="I527" t="s">
        <v>888</v>
      </c>
    </row>
    <row r="528" spans="1:9" x14ac:dyDescent="0.3">
      <c r="A528" t="s">
        <v>1422</v>
      </c>
      <c r="B528" t="s">
        <v>884</v>
      </c>
      <c r="C528" t="s">
        <v>885</v>
      </c>
      <c r="D528" t="s">
        <v>886</v>
      </c>
      <c r="E528" t="s">
        <v>895</v>
      </c>
      <c r="F528" s="6">
        <v>42251</v>
      </c>
      <c r="G528">
        <v>144</v>
      </c>
      <c r="H528" s="6">
        <v>46634</v>
      </c>
      <c r="I528" t="s">
        <v>888</v>
      </c>
    </row>
    <row r="529" spans="1:9" x14ac:dyDescent="0.3">
      <c r="A529" t="s">
        <v>1423</v>
      </c>
      <c r="B529" t="s">
        <v>884</v>
      </c>
      <c r="C529" t="s">
        <v>885</v>
      </c>
      <c r="D529" t="s">
        <v>937</v>
      </c>
      <c r="E529" t="s">
        <v>895</v>
      </c>
      <c r="F529" s="6">
        <v>42252</v>
      </c>
      <c r="G529">
        <v>144</v>
      </c>
      <c r="H529" s="6">
        <v>46635</v>
      </c>
      <c r="I529" t="s">
        <v>888</v>
      </c>
    </row>
    <row r="530" spans="1:9" x14ac:dyDescent="0.3">
      <c r="A530" t="s">
        <v>1424</v>
      </c>
      <c r="B530" t="s">
        <v>884</v>
      </c>
      <c r="C530" t="s">
        <v>885</v>
      </c>
      <c r="D530" t="s">
        <v>893</v>
      </c>
      <c r="E530" t="s">
        <v>895</v>
      </c>
      <c r="F530" s="6">
        <v>42252</v>
      </c>
      <c r="G530">
        <v>144</v>
      </c>
      <c r="H530" s="6">
        <v>46635</v>
      </c>
      <c r="I530" t="s">
        <v>888</v>
      </c>
    </row>
    <row r="531" spans="1:9" x14ac:dyDescent="0.3">
      <c r="A531" t="s">
        <v>1425</v>
      </c>
      <c r="B531" t="s">
        <v>884</v>
      </c>
      <c r="C531" t="s">
        <v>885</v>
      </c>
      <c r="D531" t="s">
        <v>937</v>
      </c>
      <c r="E531" t="s">
        <v>895</v>
      </c>
      <c r="F531" s="6">
        <v>42252</v>
      </c>
      <c r="G531">
        <v>144</v>
      </c>
      <c r="H531" s="6">
        <v>46635</v>
      </c>
      <c r="I531" t="s">
        <v>888</v>
      </c>
    </row>
    <row r="532" spans="1:9" x14ac:dyDescent="0.3">
      <c r="A532" t="s">
        <v>1426</v>
      </c>
      <c r="B532" t="s">
        <v>884</v>
      </c>
      <c r="C532" t="s">
        <v>885</v>
      </c>
      <c r="D532" t="s">
        <v>893</v>
      </c>
      <c r="E532" t="s">
        <v>895</v>
      </c>
      <c r="F532" s="6">
        <v>42252</v>
      </c>
      <c r="G532">
        <v>144</v>
      </c>
      <c r="H532" s="6">
        <v>46635</v>
      </c>
      <c r="I532" t="s">
        <v>888</v>
      </c>
    </row>
    <row r="533" spans="1:9" x14ac:dyDescent="0.3">
      <c r="A533" t="s">
        <v>1427</v>
      </c>
      <c r="B533" t="s">
        <v>884</v>
      </c>
      <c r="C533" t="s">
        <v>885</v>
      </c>
      <c r="D533" t="s">
        <v>937</v>
      </c>
      <c r="E533" t="s">
        <v>895</v>
      </c>
      <c r="F533" s="6">
        <v>42252</v>
      </c>
      <c r="G533">
        <v>144</v>
      </c>
      <c r="H533" s="6">
        <v>46635</v>
      </c>
      <c r="I533" t="s">
        <v>888</v>
      </c>
    </row>
    <row r="534" spans="1:9" x14ac:dyDescent="0.3">
      <c r="A534" t="s">
        <v>1428</v>
      </c>
      <c r="B534" t="s">
        <v>884</v>
      </c>
      <c r="C534" t="s">
        <v>885</v>
      </c>
      <c r="D534" t="s">
        <v>893</v>
      </c>
      <c r="E534" t="s">
        <v>895</v>
      </c>
      <c r="F534" s="6">
        <v>42252</v>
      </c>
      <c r="G534">
        <v>144</v>
      </c>
      <c r="H534" s="6">
        <v>46635</v>
      </c>
      <c r="I534" t="s">
        <v>888</v>
      </c>
    </row>
    <row r="535" spans="1:9" x14ac:dyDescent="0.3">
      <c r="A535" t="s">
        <v>1429</v>
      </c>
      <c r="B535" t="s">
        <v>884</v>
      </c>
      <c r="C535" t="s">
        <v>885</v>
      </c>
      <c r="D535" t="s">
        <v>937</v>
      </c>
      <c r="E535" t="s">
        <v>895</v>
      </c>
      <c r="F535" s="6">
        <v>42252</v>
      </c>
      <c r="G535">
        <v>144</v>
      </c>
      <c r="H535" s="6">
        <v>46635</v>
      </c>
      <c r="I535" t="s">
        <v>888</v>
      </c>
    </row>
    <row r="536" spans="1:9" x14ac:dyDescent="0.3">
      <c r="A536" t="s">
        <v>1430</v>
      </c>
      <c r="B536" t="s">
        <v>884</v>
      </c>
      <c r="C536" t="s">
        <v>885</v>
      </c>
      <c r="D536" t="s">
        <v>909</v>
      </c>
      <c r="E536" t="s">
        <v>895</v>
      </c>
      <c r="F536" s="6">
        <v>42253</v>
      </c>
      <c r="G536">
        <v>144</v>
      </c>
      <c r="H536" s="6">
        <v>46636</v>
      </c>
      <c r="I536" t="s">
        <v>888</v>
      </c>
    </row>
    <row r="537" spans="1:9" x14ac:dyDescent="0.3">
      <c r="A537" t="s">
        <v>1431</v>
      </c>
      <c r="B537" t="s">
        <v>884</v>
      </c>
      <c r="C537" t="s">
        <v>885</v>
      </c>
      <c r="D537" t="s">
        <v>886</v>
      </c>
      <c r="E537" t="s">
        <v>895</v>
      </c>
      <c r="F537" s="6">
        <v>45769</v>
      </c>
      <c r="G537">
        <v>29</v>
      </c>
      <c r="H537" s="6">
        <v>46652</v>
      </c>
      <c r="I537" t="s">
        <v>888</v>
      </c>
    </row>
    <row r="538" spans="1:9" x14ac:dyDescent="0.3">
      <c r="A538" t="s">
        <v>1432</v>
      </c>
      <c r="B538" t="s">
        <v>884</v>
      </c>
      <c r="C538" t="s">
        <v>885</v>
      </c>
      <c r="D538" t="s">
        <v>909</v>
      </c>
      <c r="E538" t="s">
        <v>895</v>
      </c>
      <c r="F538" s="6">
        <v>43371</v>
      </c>
      <c r="G538">
        <v>108</v>
      </c>
      <c r="H538" s="6">
        <v>46658</v>
      </c>
      <c r="I538" t="s">
        <v>888</v>
      </c>
    </row>
    <row r="539" spans="1:9" x14ac:dyDescent="0.3">
      <c r="A539" t="s">
        <v>1433</v>
      </c>
      <c r="B539" t="s">
        <v>884</v>
      </c>
      <c r="C539" t="s">
        <v>885</v>
      </c>
      <c r="D539" t="s">
        <v>886</v>
      </c>
      <c r="E539" t="s">
        <v>887</v>
      </c>
      <c r="F539" s="6">
        <v>40817</v>
      </c>
      <c r="G539">
        <v>192</v>
      </c>
      <c r="H539" s="6">
        <v>46661</v>
      </c>
      <c r="I539" t="s">
        <v>888</v>
      </c>
    </row>
    <row r="540" spans="1:9" x14ac:dyDescent="0.3">
      <c r="A540" t="s">
        <v>1434</v>
      </c>
      <c r="B540" t="s">
        <v>884</v>
      </c>
      <c r="C540" t="s">
        <v>885</v>
      </c>
      <c r="D540" t="s">
        <v>886</v>
      </c>
      <c r="E540" t="s">
        <v>895</v>
      </c>
      <c r="F540" s="6">
        <v>40817</v>
      </c>
      <c r="G540">
        <v>192</v>
      </c>
      <c r="H540" s="6">
        <v>46661</v>
      </c>
      <c r="I540" t="s">
        <v>888</v>
      </c>
    </row>
    <row r="541" spans="1:9" x14ac:dyDescent="0.3">
      <c r="A541" t="s">
        <v>1435</v>
      </c>
      <c r="B541" t="s">
        <v>884</v>
      </c>
      <c r="C541" t="s">
        <v>885</v>
      </c>
      <c r="D541" t="s">
        <v>886</v>
      </c>
      <c r="E541" t="s">
        <v>895</v>
      </c>
      <c r="F541" s="6">
        <v>40817</v>
      </c>
      <c r="G541">
        <v>192</v>
      </c>
      <c r="H541" s="6">
        <v>46661</v>
      </c>
      <c r="I541" t="s">
        <v>888</v>
      </c>
    </row>
    <row r="542" spans="1:9" x14ac:dyDescent="0.3">
      <c r="A542" t="s">
        <v>1436</v>
      </c>
      <c r="B542" t="s">
        <v>884</v>
      </c>
      <c r="C542" t="s">
        <v>885</v>
      </c>
      <c r="D542" t="s">
        <v>886</v>
      </c>
      <c r="E542" t="s">
        <v>895</v>
      </c>
      <c r="F542" s="6">
        <v>40817</v>
      </c>
      <c r="G542">
        <v>192</v>
      </c>
      <c r="H542" s="6">
        <v>46661</v>
      </c>
      <c r="I542" t="s">
        <v>888</v>
      </c>
    </row>
    <row r="543" spans="1:9" x14ac:dyDescent="0.3">
      <c r="A543" t="s">
        <v>1437</v>
      </c>
      <c r="B543" t="s">
        <v>884</v>
      </c>
      <c r="C543" t="s">
        <v>885</v>
      </c>
      <c r="D543" t="s">
        <v>886</v>
      </c>
      <c r="E543" t="s">
        <v>895</v>
      </c>
      <c r="F543" s="6">
        <v>40817</v>
      </c>
      <c r="G543">
        <v>192</v>
      </c>
      <c r="H543" s="6">
        <v>46661</v>
      </c>
      <c r="I543" t="s">
        <v>888</v>
      </c>
    </row>
    <row r="544" spans="1:9" x14ac:dyDescent="0.3">
      <c r="A544" t="s">
        <v>1438</v>
      </c>
      <c r="B544" t="s">
        <v>884</v>
      </c>
      <c r="C544" t="s">
        <v>885</v>
      </c>
      <c r="D544" t="s">
        <v>886</v>
      </c>
      <c r="E544" t="s">
        <v>895</v>
      </c>
      <c r="F544" s="6">
        <v>40817</v>
      </c>
      <c r="G544">
        <v>192</v>
      </c>
      <c r="H544" s="6">
        <v>46661</v>
      </c>
      <c r="I544" t="s">
        <v>888</v>
      </c>
    </row>
    <row r="545" spans="1:9" x14ac:dyDescent="0.3">
      <c r="A545" t="s">
        <v>1439</v>
      </c>
      <c r="B545" t="s">
        <v>884</v>
      </c>
      <c r="C545" t="s">
        <v>885</v>
      </c>
      <c r="D545" t="s">
        <v>886</v>
      </c>
      <c r="E545" t="s">
        <v>895</v>
      </c>
      <c r="F545" s="6">
        <v>44480</v>
      </c>
      <c r="G545">
        <v>72</v>
      </c>
      <c r="H545" s="6">
        <v>46671</v>
      </c>
      <c r="I545" t="s">
        <v>888</v>
      </c>
    </row>
    <row r="546" spans="1:9" x14ac:dyDescent="0.3">
      <c r="A546" t="s">
        <v>1440</v>
      </c>
      <c r="B546" t="s">
        <v>884</v>
      </c>
      <c r="C546" t="s">
        <v>885</v>
      </c>
      <c r="D546" t="s">
        <v>893</v>
      </c>
      <c r="E546" t="s">
        <v>895</v>
      </c>
      <c r="F546" s="6">
        <v>44848</v>
      </c>
      <c r="G546">
        <v>60</v>
      </c>
      <c r="H546" s="6">
        <v>46674</v>
      </c>
      <c r="I546" t="s">
        <v>888</v>
      </c>
    </row>
    <row r="547" spans="1:9" x14ac:dyDescent="0.3">
      <c r="A547" t="s">
        <v>1441</v>
      </c>
      <c r="B547" t="s">
        <v>884</v>
      </c>
      <c r="C547" t="s">
        <v>885</v>
      </c>
      <c r="D547" t="s">
        <v>937</v>
      </c>
      <c r="E547" t="s">
        <v>895</v>
      </c>
      <c r="F547" s="6">
        <v>44484</v>
      </c>
      <c r="G547">
        <v>72</v>
      </c>
      <c r="H547" s="6">
        <v>46675</v>
      </c>
      <c r="I547" t="s">
        <v>888</v>
      </c>
    </row>
    <row r="548" spans="1:9" x14ac:dyDescent="0.3">
      <c r="A548" t="s">
        <v>1442</v>
      </c>
      <c r="B548" t="s">
        <v>884</v>
      </c>
      <c r="C548" t="s">
        <v>885</v>
      </c>
      <c r="D548" t="s">
        <v>909</v>
      </c>
      <c r="E548" t="s">
        <v>895</v>
      </c>
      <c r="F548" s="6">
        <v>44484</v>
      </c>
      <c r="G548">
        <v>72</v>
      </c>
      <c r="H548" s="6">
        <v>46675</v>
      </c>
      <c r="I548" t="s">
        <v>888</v>
      </c>
    </row>
    <row r="549" spans="1:9" x14ac:dyDescent="0.3">
      <c r="A549" t="s">
        <v>1443</v>
      </c>
      <c r="B549" t="s">
        <v>884</v>
      </c>
      <c r="C549" t="s">
        <v>885</v>
      </c>
      <c r="D549" t="s">
        <v>937</v>
      </c>
      <c r="E549" t="s">
        <v>895</v>
      </c>
      <c r="F549" s="6">
        <v>44491</v>
      </c>
      <c r="G549">
        <v>72</v>
      </c>
      <c r="H549" s="6">
        <v>46682</v>
      </c>
      <c r="I549" t="s">
        <v>888</v>
      </c>
    </row>
    <row r="550" spans="1:9" x14ac:dyDescent="0.3">
      <c r="A550" t="s">
        <v>1444</v>
      </c>
      <c r="B550" t="s">
        <v>884</v>
      </c>
      <c r="C550" t="s">
        <v>885</v>
      </c>
      <c r="D550" t="s">
        <v>886</v>
      </c>
      <c r="E550" t="s">
        <v>895</v>
      </c>
      <c r="F550" s="6">
        <v>44435</v>
      </c>
      <c r="G550">
        <v>74</v>
      </c>
      <c r="H550" s="6">
        <v>46687</v>
      </c>
      <c r="I550" t="s">
        <v>888</v>
      </c>
    </row>
    <row r="551" spans="1:9" x14ac:dyDescent="0.3">
      <c r="A551" t="s">
        <v>1445</v>
      </c>
      <c r="B551" t="s">
        <v>884</v>
      </c>
      <c r="C551" t="s">
        <v>885</v>
      </c>
      <c r="D551" t="s">
        <v>904</v>
      </c>
      <c r="E551" t="s">
        <v>895</v>
      </c>
      <c r="F551" s="6">
        <v>45411</v>
      </c>
      <c r="G551">
        <v>42</v>
      </c>
      <c r="H551" s="6">
        <v>46689</v>
      </c>
      <c r="I551" t="s">
        <v>888</v>
      </c>
    </row>
    <row r="552" spans="1:9" x14ac:dyDescent="0.3">
      <c r="A552" t="s">
        <v>1446</v>
      </c>
      <c r="B552" t="s">
        <v>884</v>
      </c>
      <c r="C552" t="s">
        <v>885</v>
      </c>
      <c r="D552" t="s">
        <v>929</v>
      </c>
      <c r="E552" t="s">
        <v>895</v>
      </c>
      <c r="F552" s="6">
        <v>44145</v>
      </c>
      <c r="G552">
        <v>84</v>
      </c>
      <c r="H552" s="6">
        <v>46701</v>
      </c>
      <c r="I552" t="s">
        <v>888</v>
      </c>
    </row>
    <row r="553" spans="1:9" x14ac:dyDescent="0.3">
      <c r="A553" t="s">
        <v>1447</v>
      </c>
      <c r="B553" t="s">
        <v>884</v>
      </c>
      <c r="C553" t="s">
        <v>885</v>
      </c>
      <c r="D553" t="s">
        <v>929</v>
      </c>
      <c r="E553" t="s">
        <v>895</v>
      </c>
      <c r="F553" s="6">
        <v>44145</v>
      </c>
      <c r="G553">
        <v>84</v>
      </c>
      <c r="H553" s="6">
        <v>46701</v>
      </c>
      <c r="I553" t="s">
        <v>888</v>
      </c>
    </row>
    <row r="554" spans="1:9" x14ac:dyDescent="0.3">
      <c r="A554" t="s">
        <v>1448</v>
      </c>
      <c r="B554" t="s">
        <v>884</v>
      </c>
      <c r="C554" t="s">
        <v>885</v>
      </c>
      <c r="D554" t="s">
        <v>929</v>
      </c>
      <c r="E554" t="s">
        <v>895</v>
      </c>
      <c r="F554" s="6">
        <v>44145</v>
      </c>
      <c r="G554">
        <v>84</v>
      </c>
      <c r="H554" s="6">
        <v>46701</v>
      </c>
      <c r="I554" t="s">
        <v>888</v>
      </c>
    </row>
    <row r="555" spans="1:9" x14ac:dyDescent="0.3">
      <c r="A555" t="s">
        <v>1449</v>
      </c>
      <c r="B555" t="s">
        <v>884</v>
      </c>
      <c r="C555" t="s">
        <v>885</v>
      </c>
      <c r="D555" t="s">
        <v>893</v>
      </c>
      <c r="E555" t="s">
        <v>895</v>
      </c>
      <c r="F555" s="6">
        <v>44155</v>
      </c>
      <c r="G555">
        <v>84</v>
      </c>
      <c r="H555" s="6">
        <v>46711</v>
      </c>
      <c r="I555" t="s">
        <v>888</v>
      </c>
    </row>
    <row r="556" spans="1:9" x14ac:dyDescent="0.3">
      <c r="A556" t="s">
        <v>1450</v>
      </c>
      <c r="B556" t="s">
        <v>884</v>
      </c>
      <c r="C556" t="s">
        <v>885</v>
      </c>
      <c r="D556" t="s">
        <v>893</v>
      </c>
      <c r="E556" t="s">
        <v>895</v>
      </c>
      <c r="F556" s="6">
        <v>44155</v>
      </c>
      <c r="G556">
        <v>84</v>
      </c>
      <c r="H556" s="6">
        <v>46711</v>
      </c>
      <c r="I556" t="s">
        <v>888</v>
      </c>
    </row>
    <row r="557" spans="1:9" x14ac:dyDescent="0.3">
      <c r="A557" t="s">
        <v>1451</v>
      </c>
      <c r="B557" t="s">
        <v>884</v>
      </c>
      <c r="C557" t="s">
        <v>885</v>
      </c>
      <c r="D557" t="s">
        <v>893</v>
      </c>
      <c r="E557" t="s">
        <v>895</v>
      </c>
      <c r="F557" s="6">
        <v>44155</v>
      </c>
      <c r="G557">
        <v>84</v>
      </c>
      <c r="H557" s="6">
        <v>46711</v>
      </c>
      <c r="I557" t="s">
        <v>888</v>
      </c>
    </row>
    <row r="558" spans="1:9" x14ac:dyDescent="0.3">
      <c r="A558" t="s">
        <v>1452</v>
      </c>
      <c r="B558" t="s">
        <v>884</v>
      </c>
      <c r="C558" t="s">
        <v>885</v>
      </c>
      <c r="D558" t="s">
        <v>904</v>
      </c>
      <c r="E558" t="s">
        <v>895</v>
      </c>
      <c r="F558" s="6">
        <v>44155</v>
      </c>
      <c r="G558">
        <v>84</v>
      </c>
      <c r="H558" s="6">
        <v>46711</v>
      </c>
      <c r="I558" t="s">
        <v>888</v>
      </c>
    </row>
    <row r="559" spans="1:9" x14ac:dyDescent="0.3">
      <c r="A559" t="s">
        <v>1453</v>
      </c>
      <c r="B559" t="s">
        <v>884</v>
      </c>
      <c r="C559" t="s">
        <v>885</v>
      </c>
      <c r="D559" t="s">
        <v>904</v>
      </c>
      <c r="E559" t="s">
        <v>895</v>
      </c>
      <c r="F559" s="6">
        <v>44169</v>
      </c>
      <c r="G559">
        <v>84</v>
      </c>
      <c r="H559" s="6">
        <v>46725</v>
      </c>
      <c r="I559" t="s">
        <v>888</v>
      </c>
    </row>
    <row r="560" spans="1:9" x14ac:dyDescent="0.3">
      <c r="A560" t="s">
        <v>1454</v>
      </c>
      <c r="B560" t="s">
        <v>884</v>
      </c>
      <c r="C560" t="s">
        <v>885</v>
      </c>
      <c r="D560" t="s">
        <v>886</v>
      </c>
      <c r="E560" t="s">
        <v>895</v>
      </c>
      <c r="F560" s="6">
        <v>44559</v>
      </c>
      <c r="G560">
        <v>72</v>
      </c>
      <c r="H560" s="6">
        <v>46750</v>
      </c>
      <c r="I560" t="s">
        <v>888</v>
      </c>
    </row>
    <row r="561" spans="1:9" x14ac:dyDescent="0.3">
      <c r="A561" t="s">
        <v>1455</v>
      </c>
      <c r="B561" t="s">
        <v>884</v>
      </c>
      <c r="C561" t="s">
        <v>885</v>
      </c>
      <c r="D561" t="s">
        <v>904</v>
      </c>
      <c r="E561" t="s">
        <v>895</v>
      </c>
      <c r="F561" s="6">
        <v>43850</v>
      </c>
      <c r="G561">
        <v>96</v>
      </c>
      <c r="H561" s="6">
        <v>46772</v>
      </c>
      <c r="I561" t="s">
        <v>888</v>
      </c>
    </row>
    <row r="562" spans="1:9" x14ac:dyDescent="0.3">
      <c r="A562" t="s">
        <v>1456</v>
      </c>
      <c r="B562" t="s">
        <v>884</v>
      </c>
      <c r="C562" t="s">
        <v>885</v>
      </c>
      <c r="D562" t="s">
        <v>909</v>
      </c>
      <c r="E562" t="s">
        <v>895</v>
      </c>
      <c r="F562" s="6">
        <v>40932</v>
      </c>
      <c r="G562">
        <v>192</v>
      </c>
      <c r="H562" s="6">
        <v>46776</v>
      </c>
      <c r="I562" t="s">
        <v>888</v>
      </c>
    </row>
    <row r="563" spans="1:9" x14ac:dyDescent="0.3">
      <c r="A563" t="s">
        <v>1457</v>
      </c>
      <c r="B563" t="s">
        <v>884</v>
      </c>
      <c r="C563" t="s">
        <v>885</v>
      </c>
      <c r="D563" t="s">
        <v>891</v>
      </c>
      <c r="E563" t="s">
        <v>895</v>
      </c>
      <c r="F563" s="6">
        <v>40932</v>
      </c>
      <c r="G563">
        <v>192</v>
      </c>
      <c r="H563" s="6">
        <v>46776</v>
      </c>
      <c r="I563" t="s">
        <v>888</v>
      </c>
    </row>
    <row r="564" spans="1:9" x14ac:dyDescent="0.3">
      <c r="A564" t="s">
        <v>1458</v>
      </c>
      <c r="B564" t="s">
        <v>884</v>
      </c>
      <c r="C564" t="s">
        <v>885</v>
      </c>
      <c r="D564" t="s">
        <v>891</v>
      </c>
      <c r="E564" t="s">
        <v>895</v>
      </c>
      <c r="F564" s="6">
        <v>40932</v>
      </c>
      <c r="G564">
        <v>192</v>
      </c>
      <c r="H564" s="6">
        <v>46776</v>
      </c>
      <c r="I564" t="s">
        <v>888</v>
      </c>
    </row>
    <row r="565" spans="1:9" x14ac:dyDescent="0.3">
      <c r="A565" t="s">
        <v>1459</v>
      </c>
      <c r="B565" t="s">
        <v>884</v>
      </c>
      <c r="C565" t="s">
        <v>885</v>
      </c>
      <c r="D565" t="s">
        <v>886</v>
      </c>
      <c r="E565" t="s">
        <v>895</v>
      </c>
      <c r="F565" s="6">
        <v>40933</v>
      </c>
      <c r="G565">
        <v>192</v>
      </c>
      <c r="H565" s="6">
        <v>46777</v>
      </c>
      <c r="I565" t="s">
        <v>888</v>
      </c>
    </row>
    <row r="566" spans="1:9" x14ac:dyDescent="0.3">
      <c r="A566" t="s">
        <v>1460</v>
      </c>
      <c r="B566" t="s">
        <v>884</v>
      </c>
      <c r="C566" t="s">
        <v>885</v>
      </c>
      <c r="D566" t="s">
        <v>891</v>
      </c>
      <c r="E566" t="s">
        <v>895</v>
      </c>
      <c r="F566" s="6">
        <v>40933</v>
      </c>
      <c r="G566">
        <v>192</v>
      </c>
      <c r="H566" s="6">
        <v>46777</v>
      </c>
      <c r="I566" t="s">
        <v>888</v>
      </c>
    </row>
    <row r="567" spans="1:9" x14ac:dyDescent="0.3">
      <c r="A567" t="s">
        <v>1461</v>
      </c>
      <c r="B567" t="s">
        <v>884</v>
      </c>
      <c r="C567" t="s">
        <v>885</v>
      </c>
      <c r="D567" t="s">
        <v>891</v>
      </c>
      <c r="E567" t="s">
        <v>895</v>
      </c>
      <c r="F567" s="6">
        <v>40933</v>
      </c>
      <c r="G567">
        <v>192</v>
      </c>
      <c r="H567" s="6">
        <v>46777</v>
      </c>
      <c r="I567" t="s">
        <v>888</v>
      </c>
    </row>
    <row r="568" spans="1:9" x14ac:dyDescent="0.3">
      <c r="A568" t="s">
        <v>1462</v>
      </c>
      <c r="B568" t="s">
        <v>884</v>
      </c>
      <c r="C568" t="s">
        <v>885</v>
      </c>
      <c r="D568" t="s">
        <v>909</v>
      </c>
      <c r="E568" t="s">
        <v>895</v>
      </c>
      <c r="F568" s="6">
        <v>40933</v>
      </c>
      <c r="G568">
        <v>192</v>
      </c>
      <c r="H568" s="6">
        <v>46777</v>
      </c>
      <c r="I568" t="s">
        <v>888</v>
      </c>
    </row>
    <row r="569" spans="1:9" x14ac:dyDescent="0.3">
      <c r="A569" t="s">
        <v>1463</v>
      </c>
      <c r="B569" t="s">
        <v>884</v>
      </c>
      <c r="C569" t="s">
        <v>885</v>
      </c>
      <c r="D569" t="s">
        <v>886</v>
      </c>
      <c r="E569" t="s">
        <v>895</v>
      </c>
      <c r="F569" s="6">
        <v>40933</v>
      </c>
      <c r="G569">
        <v>192</v>
      </c>
      <c r="H569" s="6">
        <v>46777</v>
      </c>
      <c r="I569" t="s">
        <v>888</v>
      </c>
    </row>
    <row r="570" spans="1:9" x14ac:dyDescent="0.3">
      <c r="A570" t="s">
        <v>1464</v>
      </c>
      <c r="B570" t="s">
        <v>884</v>
      </c>
      <c r="C570" t="s">
        <v>885</v>
      </c>
      <c r="D570" t="s">
        <v>886</v>
      </c>
      <c r="E570" t="s">
        <v>895</v>
      </c>
      <c r="F570" s="6">
        <v>40933</v>
      </c>
      <c r="G570">
        <v>192</v>
      </c>
      <c r="H570" s="6">
        <v>46777</v>
      </c>
      <c r="I570" t="s">
        <v>888</v>
      </c>
    </row>
    <row r="571" spans="1:9" x14ac:dyDescent="0.3">
      <c r="A571" t="s">
        <v>1465</v>
      </c>
      <c r="B571" t="s">
        <v>884</v>
      </c>
      <c r="C571" t="s">
        <v>885</v>
      </c>
      <c r="D571" t="s">
        <v>886</v>
      </c>
      <c r="E571" t="s">
        <v>895</v>
      </c>
      <c r="F571" s="6">
        <v>40933</v>
      </c>
      <c r="G571">
        <v>192</v>
      </c>
      <c r="H571" s="6">
        <v>46777</v>
      </c>
      <c r="I571" t="s">
        <v>888</v>
      </c>
    </row>
    <row r="572" spans="1:9" x14ac:dyDescent="0.3">
      <c r="A572" t="s">
        <v>1466</v>
      </c>
      <c r="B572" t="s">
        <v>884</v>
      </c>
      <c r="C572" t="s">
        <v>885</v>
      </c>
      <c r="D572" t="s">
        <v>886</v>
      </c>
      <c r="E572" t="s">
        <v>895</v>
      </c>
      <c r="F572" s="6">
        <v>40934</v>
      </c>
      <c r="G572">
        <v>192</v>
      </c>
      <c r="H572" s="6">
        <v>46778</v>
      </c>
      <c r="I572" t="s">
        <v>888</v>
      </c>
    </row>
    <row r="573" spans="1:9" x14ac:dyDescent="0.3">
      <c r="A573" t="s">
        <v>1467</v>
      </c>
      <c r="B573" t="s">
        <v>884</v>
      </c>
      <c r="C573" t="s">
        <v>885</v>
      </c>
      <c r="D573" t="s">
        <v>929</v>
      </c>
      <c r="E573" t="s">
        <v>895</v>
      </c>
      <c r="F573" s="6">
        <v>43504</v>
      </c>
      <c r="G573">
        <v>108</v>
      </c>
      <c r="H573" s="6">
        <v>46791</v>
      </c>
      <c r="I573" t="s">
        <v>888</v>
      </c>
    </row>
    <row r="574" spans="1:9" x14ac:dyDescent="0.3">
      <c r="A574" t="s">
        <v>1468</v>
      </c>
      <c r="B574" t="s">
        <v>884</v>
      </c>
      <c r="C574" t="s">
        <v>885</v>
      </c>
      <c r="D574" t="s">
        <v>937</v>
      </c>
      <c r="E574" t="s">
        <v>895</v>
      </c>
      <c r="F574" s="6">
        <v>43140</v>
      </c>
      <c r="G574">
        <v>120</v>
      </c>
      <c r="H574" s="6">
        <v>46792</v>
      </c>
      <c r="I574" t="s">
        <v>888</v>
      </c>
    </row>
    <row r="575" spans="1:9" x14ac:dyDescent="0.3">
      <c r="A575" t="s">
        <v>1469</v>
      </c>
      <c r="B575" t="s">
        <v>884</v>
      </c>
      <c r="C575" t="s">
        <v>885</v>
      </c>
      <c r="D575" t="s">
        <v>929</v>
      </c>
      <c r="E575" t="s">
        <v>895</v>
      </c>
      <c r="F575" s="6">
        <v>43509</v>
      </c>
      <c r="G575">
        <v>108</v>
      </c>
      <c r="H575" s="6">
        <v>46796</v>
      </c>
      <c r="I575" t="s">
        <v>888</v>
      </c>
    </row>
    <row r="576" spans="1:9" x14ac:dyDescent="0.3">
      <c r="A576" t="s">
        <v>1470</v>
      </c>
      <c r="B576" t="s">
        <v>884</v>
      </c>
      <c r="C576" t="s">
        <v>885</v>
      </c>
      <c r="D576" t="s">
        <v>929</v>
      </c>
      <c r="E576" t="s">
        <v>895</v>
      </c>
      <c r="F576" s="6">
        <v>43511</v>
      </c>
      <c r="G576">
        <v>108</v>
      </c>
      <c r="H576" s="6">
        <v>46798</v>
      </c>
      <c r="I576" t="s">
        <v>888</v>
      </c>
    </row>
    <row r="577" spans="1:9" x14ac:dyDescent="0.3">
      <c r="A577" t="s">
        <v>1471</v>
      </c>
      <c r="B577" t="s">
        <v>884</v>
      </c>
      <c r="C577" t="s">
        <v>885</v>
      </c>
      <c r="D577" t="s">
        <v>886</v>
      </c>
      <c r="E577" t="s">
        <v>895</v>
      </c>
      <c r="F577" s="6">
        <v>44609</v>
      </c>
      <c r="G577">
        <v>72</v>
      </c>
      <c r="H577" s="6">
        <v>46800</v>
      </c>
      <c r="I577" t="s">
        <v>888</v>
      </c>
    </row>
    <row r="578" spans="1:9" x14ac:dyDescent="0.3">
      <c r="A578" t="s">
        <v>1472</v>
      </c>
      <c r="B578" t="s">
        <v>884</v>
      </c>
      <c r="C578" t="s">
        <v>885</v>
      </c>
      <c r="D578" t="s">
        <v>893</v>
      </c>
      <c r="E578" t="s">
        <v>895</v>
      </c>
      <c r="F578" s="6">
        <v>45532</v>
      </c>
      <c r="G578">
        <v>42</v>
      </c>
      <c r="H578" s="6">
        <v>46811</v>
      </c>
      <c r="I578" t="s">
        <v>888</v>
      </c>
    </row>
    <row r="579" spans="1:9" x14ac:dyDescent="0.3">
      <c r="A579" t="s">
        <v>1473</v>
      </c>
      <c r="B579" t="s">
        <v>884</v>
      </c>
      <c r="C579" t="s">
        <v>885</v>
      </c>
      <c r="D579" t="s">
        <v>886</v>
      </c>
      <c r="E579" t="s">
        <v>895</v>
      </c>
      <c r="F579" s="6">
        <v>43896</v>
      </c>
      <c r="G579">
        <v>96</v>
      </c>
      <c r="H579" s="6">
        <v>46818</v>
      </c>
      <c r="I579" t="s">
        <v>888</v>
      </c>
    </row>
    <row r="580" spans="1:9" x14ac:dyDescent="0.3">
      <c r="A580" t="s">
        <v>1474</v>
      </c>
      <c r="B580" t="s">
        <v>884</v>
      </c>
      <c r="C580" t="s">
        <v>885</v>
      </c>
      <c r="D580" t="s">
        <v>886</v>
      </c>
      <c r="E580" t="s">
        <v>895</v>
      </c>
      <c r="F580" s="6">
        <v>43901</v>
      </c>
      <c r="G580">
        <v>96</v>
      </c>
      <c r="H580" s="6">
        <v>46823</v>
      </c>
      <c r="I580" t="s">
        <v>888</v>
      </c>
    </row>
    <row r="581" spans="1:9" x14ac:dyDescent="0.3">
      <c r="A581" t="s">
        <v>1475</v>
      </c>
      <c r="B581" t="s">
        <v>884</v>
      </c>
      <c r="C581" t="s">
        <v>885</v>
      </c>
      <c r="D581" t="s">
        <v>891</v>
      </c>
      <c r="E581" t="s">
        <v>887</v>
      </c>
      <c r="F581" s="6">
        <v>44642</v>
      </c>
      <c r="G581">
        <v>72</v>
      </c>
      <c r="H581" s="6">
        <v>46834</v>
      </c>
      <c r="I581" t="s">
        <v>888</v>
      </c>
    </row>
    <row r="582" spans="1:9" x14ac:dyDescent="0.3">
      <c r="A582" t="s">
        <v>1476</v>
      </c>
      <c r="B582" t="s">
        <v>884</v>
      </c>
      <c r="C582" t="s">
        <v>885</v>
      </c>
      <c r="D582" t="s">
        <v>886</v>
      </c>
      <c r="E582" t="s">
        <v>895</v>
      </c>
      <c r="F582" s="6">
        <v>44650</v>
      </c>
      <c r="G582">
        <v>72</v>
      </c>
      <c r="H582" s="6">
        <v>46842</v>
      </c>
      <c r="I582" t="s">
        <v>888</v>
      </c>
    </row>
    <row r="583" spans="1:9" x14ac:dyDescent="0.3">
      <c r="A583" t="s">
        <v>1477</v>
      </c>
      <c r="B583" t="s">
        <v>884</v>
      </c>
      <c r="C583" t="s">
        <v>885</v>
      </c>
      <c r="D583" t="s">
        <v>886</v>
      </c>
      <c r="E583" t="s">
        <v>895</v>
      </c>
      <c r="F583" s="6">
        <v>44655</v>
      </c>
      <c r="G583">
        <v>72</v>
      </c>
      <c r="H583" s="6">
        <v>46847</v>
      </c>
      <c r="I583" t="s">
        <v>888</v>
      </c>
    </row>
    <row r="584" spans="1:9" x14ac:dyDescent="0.3">
      <c r="A584" t="s">
        <v>1478</v>
      </c>
      <c r="B584" t="s">
        <v>884</v>
      </c>
      <c r="C584" t="s">
        <v>885</v>
      </c>
      <c r="D584" t="s">
        <v>886</v>
      </c>
      <c r="E584" t="s">
        <v>895</v>
      </c>
      <c r="F584" s="6">
        <v>44655</v>
      </c>
      <c r="G584">
        <v>72</v>
      </c>
      <c r="H584" s="6">
        <v>46847</v>
      </c>
      <c r="I584" t="s">
        <v>888</v>
      </c>
    </row>
    <row r="585" spans="1:9" x14ac:dyDescent="0.3">
      <c r="A585" t="s">
        <v>1479</v>
      </c>
      <c r="B585" t="s">
        <v>884</v>
      </c>
      <c r="C585" t="s">
        <v>885</v>
      </c>
      <c r="D585" t="s">
        <v>891</v>
      </c>
      <c r="E585" t="s">
        <v>895</v>
      </c>
      <c r="F585" s="6">
        <v>43209</v>
      </c>
      <c r="G585">
        <v>120</v>
      </c>
      <c r="H585" s="6">
        <v>46862</v>
      </c>
      <c r="I585" t="s">
        <v>888</v>
      </c>
    </row>
    <row r="586" spans="1:9" x14ac:dyDescent="0.3">
      <c r="A586" t="s">
        <v>1480</v>
      </c>
      <c r="B586" t="s">
        <v>884</v>
      </c>
      <c r="C586" t="s">
        <v>885</v>
      </c>
      <c r="D586" t="s">
        <v>886</v>
      </c>
      <c r="E586" t="s">
        <v>895</v>
      </c>
      <c r="F586" s="6">
        <v>45424</v>
      </c>
      <c r="G586">
        <v>48</v>
      </c>
      <c r="H586" s="6">
        <v>46885</v>
      </c>
      <c r="I586" t="s">
        <v>888</v>
      </c>
    </row>
    <row r="587" spans="1:9" x14ac:dyDescent="0.3">
      <c r="A587" t="s">
        <v>1481</v>
      </c>
      <c r="B587" t="s">
        <v>884</v>
      </c>
      <c r="C587" t="s">
        <v>885</v>
      </c>
      <c r="D587" t="s">
        <v>893</v>
      </c>
      <c r="E587" t="s">
        <v>895</v>
      </c>
      <c r="F587" s="6">
        <v>44705</v>
      </c>
      <c r="G587">
        <v>72</v>
      </c>
      <c r="H587" s="6">
        <v>46897</v>
      </c>
      <c r="I587" t="s">
        <v>888</v>
      </c>
    </row>
    <row r="588" spans="1:9" x14ac:dyDescent="0.3">
      <c r="A588" t="s">
        <v>1482</v>
      </c>
      <c r="B588" t="s">
        <v>884</v>
      </c>
      <c r="C588" t="s">
        <v>885</v>
      </c>
      <c r="D588" t="s">
        <v>937</v>
      </c>
      <c r="E588" t="s">
        <v>895</v>
      </c>
      <c r="F588" s="6">
        <v>45436</v>
      </c>
      <c r="G588">
        <v>48</v>
      </c>
      <c r="H588" s="6">
        <v>46897</v>
      </c>
      <c r="I588" t="s">
        <v>888</v>
      </c>
    </row>
    <row r="589" spans="1:9" x14ac:dyDescent="0.3">
      <c r="A589" t="s">
        <v>1483</v>
      </c>
      <c r="B589" t="s">
        <v>884</v>
      </c>
      <c r="C589" t="s">
        <v>885</v>
      </c>
      <c r="D589" t="s">
        <v>909</v>
      </c>
      <c r="E589" t="s">
        <v>895</v>
      </c>
      <c r="F589" s="6">
        <v>44715</v>
      </c>
      <c r="G589">
        <v>72</v>
      </c>
      <c r="H589" s="6">
        <v>46907</v>
      </c>
      <c r="I589" t="s">
        <v>888</v>
      </c>
    </row>
    <row r="590" spans="1:9" x14ac:dyDescent="0.3">
      <c r="A590" t="s">
        <v>1484</v>
      </c>
      <c r="B590" t="s">
        <v>884</v>
      </c>
      <c r="C590" t="s">
        <v>885</v>
      </c>
      <c r="D590" t="s">
        <v>909</v>
      </c>
      <c r="E590" t="s">
        <v>895</v>
      </c>
      <c r="F590" s="6">
        <v>44169</v>
      </c>
      <c r="G590">
        <v>90</v>
      </c>
      <c r="H590" s="6">
        <v>46908</v>
      </c>
      <c r="I590" t="s">
        <v>888</v>
      </c>
    </row>
    <row r="591" spans="1:9" x14ac:dyDescent="0.3">
      <c r="A591" t="s">
        <v>1485</v>
      </c>
      <c r="B591" t="s">
        <v>884</v>
      </c>
      <c r="C591" t="s">
        <v>885</v>
      </c>
      <c r="D591" t="s">
        <v>893</v>
      </c>
      <c r="E591" t="s">
        <v>895</v>
      </c>
      <c r="F591" s="6">
        <v>44722</v>
      </c>
      <c r="G591">
        <v>72</v>
      </c>
      <c r="H591" s="6">
        <v>46914</v>
      </c>
      <c r="I591" t="s">
        <v>888</v>
      </c>
    </row>
    <row r="592" spans="1:9" x14ac:dyDescent="0.3">
      <c r="A592" t="s">
        <v>1486</v>
      </c>
      <c r="B592" t="s">
        <v>884</v>
      </c>
      <c r="C592" t="s">
        <v>885</v>
      </c>
      <c r="D592" t="s">
        <v>886</v>
      </c>
      <c r="E592" t="s">
        <v>895</v>
      </c>
      <c r="F592" s="6">
        <v>44734</v>
      </c>
      <c r="G592">
        <v>72</v>
      </c>
      <c r="H592" s="6">
        <v>46926</v>
      </c>
      <c r="I592" t="s">
        <v>888</v>
      </c>
    </row>
    <row r="593" spans="1:9" x14ac:dyDescent="0.3">
      <c r="A593" t="s">
        <v>1487</v>
      </c>
      <c r="B593" t="s">
        <v>884</v>
      </c>
      <c r="C593" t="s">
        <v>885</v>
      </c>
      <c r="D593" t="s">
        <v>886</v>
      </c>
      <c r="E593" t="s">
        <v>895</v>
      </c>
      <c r="F593" s="6">
        <v>44751</v>
      </c>
      <c r="G593">
        <v>72</v>
      </c>
      <c r="H593" s="6">
        <v>46943</v>
      </c>
      <c r="I593" t="s">
        <v>888</v>
      </c>
    </row>
    <row r="594" spans="1:9" x14ac:dyDescent="0.3">
      <c r="A594" t="s">
        <v>1488</v>
      </c>
      <c r="B594" t="s">
        <v>884</v>
      </c>
      <c r="C594" t="s">
        <v>885</v>
      </c>
      <c r="D594" t="s">
        <v>886</v>
      </c>
      <c r="E594" t="s">
        <v>895</v>
      </c>
      <c r="F594" s="6">
        <v>44754</v>
      </c>
      <c r="G594">
        <v>72</v>
      </c>
      <c r="H594" s="6">
        <v>46946</v>
      </c>
      <c r="I594" t="s">
        <v>888</v>
      </c>
    </row>
    <row r="595" spans="1:9" x14ac:dyDescent="0.3">
      <c r="A595" t="s">
        <v>1489</v>
      </c>
      <c r="B595" t="s">
        <v>884</v>
      </c>
      <c r="C595" t="s">
        <v>885</v>
      </c>
      <c r="D595" t="s">
        <v>886</v>
      </c>
      <c r="E595" t="s">
        <v>895</v>
      </c>
      <c r="F595" s="6">
        <v>41837</v>
      </c>
      <c r="G595">
        <v>168</v>
      </c>
      <c r="H595" s="6">
        <v>46951</v>
      </c>
      <c r="I595" t="s">
        <v>888</v>
      </c>
    </row>
    <row r="596" spans="1:9" x14ac:dyDescent="0.3">
      <c r="A596" t="s">
        <v>1490</v>
      </c>
      <c r="B596" t="s">
        <v>884</v>
      </c>
      <c r="C596" t="s">
        <v>885</v>
      </c>
      <c r="D596" t="s">
        <v>937</v>
      </c>
      <c r="E596" t="s">
        <v>895</v>
      </c>
      <c r="F596" s="6">
        <v>41837</v>
      </c>
      <c r="G596">
        <v>168</v>
      </c>
      <c r="H596" s="6">
        <v>46951</v>
      </c>
      <c r="I596" t="s">
        <v>888</v>
      </c>
    </row>
    <row r="597" spans="1:9" x14ac:dyDescent="0.3">
      <c r="A597" t="s">
        <v>1491</v>
      </c>
      <c r="B597" t="s">
        <v>884</v>
      </c>
      <c r="C597" t="s">
        <v>885</v>
      </c>
      <c r="D597" t="s">
        <v>937</v>
      </c>
      <c r="E597" t="s">
        <v>895</v>
      </c>
      <c r="F597" s="6">
        <v>41837</v>
      </c>
      <c r="G597">
        <v>168</v>
      </c>
      <c r="H597" s="6">
        <v>46951</v>
      </c>
      <c r="I597" t="s">
        <v>888</v>
      </c>
    </row>
    <row r="598" spans="1:9" x14ac:dyDescent="0.3">
      <c r="A598" t="s">
        <v>1492</v>
      </c>
      <c r="B598" t="s">
        <v>884</v>
      </c>
      <c r="C598" t="s">
        <v>885</v>
      </c>
      <c r="D598" t="s">
        <v>886</v>
      </c>
      <c r="E598" t="s">
        <v>895</v>
      </c>
      <c r="F598" s="6">
        <v>41837</v>
      </c>
      <c r="G598">
        <v>168</v>
      </c>
      <c r="H598" s="6">
        <v>46951</v>
      </c>
      <c r="I598" t="s">
        <v>888</v>
      </c>
    </row>
    <row r="599" spans="1:9" x14ac:dyDescent="0.3">
      <c r="A599" t="s">
        <v>1493</v>
      </c>
      <c r="B599" t="s">
        <v>884</v>
      </c>
      <c r="C599" t="s">
        <v>885</v>
      </c>
      <c r="D599" t="s">
        <v>909</v>
      </c>
      <c r="E599" t="s">
        <v>895</v>
      </c>
      <c r="F599" s="6">
        <v>44761</v>
      </c>
      <c r="G599">
        <v>72</v>
      </c>
      <c r="H599" s="6">
        <v>46953</v>
      </c>
      <c r="I599" t="s">
        <v>888</v>
      </c>
    </row>
    <row r="600" spans="1:9" x14ac:dyDescent="0.3">
      <c r="A600" t="s">
        <v>1494</v>
      </c>
      <c r="B600" t="s">
        <v>884</v>
      </c>
      <c r="C600" t="s">
        <v>885</v>
      </c>
      <c r="D600" t="s">
        <v>909</v>
      </c>
      <c r="E600" t="s">
        <v>895</v>
      </c>
      <c r="F600" s="6">
        <v>44761</v>
      </c>
      <c r="G600">
        <v>72</v>
      </c>
      <c r="H600" s="6">
        <v>46953</v>
      </c>
      <c r="I600" t="s">
        <v>888</v>
      </c>
    </row>
    <row r="601" spans="1:9" x14ac:dyDescent="0.3">
      <c r="A601" t="s">
        <v>1495</v>
      </c>
      <c r="B601" t="s">
        <v>884</v>
      </c>
      <c r="C601" t="s">
        <v>885</v>
      </c>
      <c r="D601" t="s">
        <v>937</v>
      </c>
      <c r="E601" t="s">
        <v>895</v>
      </c>
      <c r="F601" s="6">
        <v>44762</v>
      </c>
      <c r="G601">
        <v>72</v>
      </c>
      <c r="H601" s="6">
        <v>46954</v>
      </c>
      <c r="I601" t="s">
        <v>888</v>
      </c>
    </row>
    <row r="602" spans="1:9" x14ac:dyDescent="0.3">
      <c r="A602" t="s">
        <v>1496</v>
      </c>
      <c r="B602" t="s">
        <v>884</v>
      </c>
      <c r="C602" t="s">
        <v>885</v>
      </c>
      <c r="D602" t="s">
        <v>886</v>
      </c>
      <c r="E602" t="s">
        <v>895</v>
      </c>
      <c r="F602" s="6">
        <v>44571</v>
      </c>
      <c r="G602">
        <v>79</v>
      </c>
      <c r="H602" s="6">
        <v>46966</v>
      </c>
      <c r="I602" t="s">
        <v>888</v>
      </c>
    </row>
    <row r="603" spans="1:9" x14ac:dyDescent="0.3">
      <c r="A603" t="s">
        <v>1497</v>
      </c>
      <c r="B603" t="s">
        <v>884</v>
      </c>
      <c r="C603" t="s">
        <v>885</v>
      </c>
      <c r="D603" t="s">
        <v>886</v>
      </c>
      <c r="E603" t="s">
        <v>895</v>
      </c>
      <c r="F603" s="6">
        <v>44796</v>
      </c>
      <c r="G603">
        <v>72</v>
      </c>
      <c r="H603" s="6">
        <v>46988</v>
      </c>
      <c r="I603" t="s">
        <v>888</v>
      </c>
    </row>
    <row r="604" spans="1:9" x14ac:dyDescent="0.3">
      <c r="A604" t="s">
        <v>1498</v>
      </c>
      <c r="B604" t="s">
        <v>884</v>
      </c>
      <c r="C604" t="s">
        <v>885</v>
      </c>
      <c r="D604" t="s">
        <v>909</v>
      </c>
      <c r="E604" t="s">
        <v>895</v>
      </c>
      <c r="F604" s="6">
        <v>43349</v>
      </c>
      <c r="G604">
        <v>120</v>
      </c>
      <c r="H604" s="6">
        <v>47002</v>
      </c>
      <c r="I604" t="s">
        <v>888</v>
      </c>
    </row>
    <row r="605" spans="1:9" x14ac:dyDescent="0.3">
      <c r="A605" t="s">
        <v>1499</v>
      </c>
      <c r="B605" t="s">
        <v>884</v>
      </c>
      <c r="C605" t="s">
        <v>885</v>
      </c>
      <c r="D605" t="s">
        <v>886</v>
      </c>
      <c r="E605" t="s">
        <v>895</v>
      </c>
      <c r="F605" s="6">
        <v>44837</v>
      </c>
      <c r="G605">
        <v>72</v>
      </c>
      <c r="H605" s="6">
        <v>47029</v>
      </c>
      <c r="I605" t="s">
        <v>888</v>
      </c>
    </row>
    <row r="606" spans="1:9" x14ac:dyDescent="0.3">
      <c r="A606" t="s">
        <v>1500</v>
      </c>
      <c r="B606" t="s">
        <v>884</v>
      </c>
      <c r="C606" t="s">
        <v>885</v>
      </c>
      <c r="D606" t="s">
        <v>893</v>
      </c>
      <c r="E606" t="s">
        <v>895</v>
      </c>
      <c r="F606" s="6">
        <v>44860</v>
      </c>
      <c r="G606">
        <v>72</v>
      </c>
      <c r="H606" s="6">
        <v>47052</v>
      </c>
      <c r="I606" t="s">
        <v>888</v>
      </c>
    </row>
    <row r="607" spans="1:9" x14ac:dyDescent="0.3">
      <c r="A607" t="s">
        <v>1501</v>
      </c>
      <c r="B607" t="s">
        <v>884</v>
      </c>
      <c r="C607" t="s">
        <v>885</v>
      </c>
      <c r="D607" t="s">
        <v>893</v>
      </c>
      <c r="E607" t="s">
        <v>895</v>
      </c>
      <c r="F607" s="6">
        <v>44860</v>
      </c>
      <c r="G607">
        <v>72</v>
      </c>
      <c r="H607" s="6">
        <v>47052</v>
      </c>
      <c r="I607" t="s">
        <v>888</v>
      </c>
    </row>
    <row r="608" spans="1:9" x14ac:dyDescent="0.3">
      <c r="A608" t="s">
        <v>1502</v>
      </c>
      <c r="B608" t="s">
        <v>884</v>
      </c>
      <c r="C608" t="s">
        <v>885</v>
      </c>
      <c r="D608" t="s">
        <v>929</v>
      </c>
      <c r="E608" t="s">
        <v>895</v>
      </c>
      <c r="F608" s="6">
        <v>44145</v>
      </c>
      <c r="G608">
        <v>96</v>
      </c>
      <c r="H608" s="6">
        <v>47067</v>
      </c>
      <c r="I608" t="s">
        <v>888</v>
      </c>
    </row>
    <row r="609" spans="1:9" x14ac:dyDescent="0.3">
      <c r="A609" t="s">
        <v>1503</v>
      </c>
      <c r="B609" t="s">
        <v>884</v>
      </c>
      <c r="C609" t="s">
        <v>885</v>
      </c>
      <c r="D609" t="s">
        <v>929</v>
      </c>
      <c r="E609" t="s">
        <v>895</v>
      </c>
      <c r="F609" s="6">
        <v>44145</v>
      </c>
      <c r="G609">
        <v>96</v>
      </c>
      <c r="H609" s="6">
        <v>47067</v>
      </c>
      <c r="I609" t="s">
        <v>888</v>
      </c>
    </row>
    <row r="610" spans="1:9" x14ac:dyDescent="0.3">
      <c r="A610" t="s">
        <v>1504</v>
      </c>
      <c r="B610" t="s">
        <v>884</v>
      </c>
      <c r="C610" t="s">
        <v>885</v>
      </c>
      <c r="D610" t="s">
        <v>929</v>
      </c>
      <c r="E610" t="s">
        <v>895</v>
      </c>
      <c r="F610" s="6">
        <v>44145</v>
      </c>
      <c r="G610">
        <v>96</v>
      </c>
      <c r="H610" s="6">
        <v>47067</v>
      </c>
      <c r="I610" t="s">
        <v>888</v>
      </c>
    </row>
    <row r="611" spans="1:9" x14ac:dyDescent="0.3">
      <c r="A611" t="s">
        <v>1505</v>
      </c>
      <c r="B611" t="s">
        <v>884</v>
      </c>
      <c r="C611" t="s">
        <v>885</v>
      </c>
      <c r="D611" t="s">
        <v>929</v>
      </c>
      <c r="E611" t="s">
        <v>895</v>
      </c>
      <c r="F611" s="6">
        <v>44145</v>
      </c>
      <c r="G611">
        <v>96</v>
      </c>
      <c r="H611" s="6">
        <v>47067</v>
      </c>
      <c r="I611" t="s">
        <v>888</v>
      </c>
    </row>
    <row r="612" spans="1:9" x14ac:dyDescent="0.3">
      <c r="A612" t="s">
        <v>1506</v>
      </c>
      <c r="B612" t="s">
        <v>884</v>
      </c>
      <c r="C612" t="s">
        <v>885</v>
      </c>
      <c r="D612" t="s">
        <v>929</v>
      </c>
      <c r="E612" t="s">
        <v>895</v>
      </c>
      <c r="F612" s="6">
        <v>44145</v>
      </c>
      <c r="G612">
        <v>96</v>
      </c>
      <c r="H612" s="6">
        <v>47067</v>
      </c>
      <c r="I612" t="s">
        <v>888</v>
      </c>
    </row>
    <row r="613" spans="1:9" x14ac:dyDescent="0.3">
      <c r="A613" t="s">
        <v>1507</v>
      </c>
      <c r="B613" t="s">
        <v>884</v>
      </c>
      <c r="C613" t="s">
        <v>885</v>
      </c>
      <c r="D613" t="s">
        <v>929</v>
      </c>
      <c r="E613" t="s">
        <v>895</v>
      </c>
      <c r="F613" s="6">
        <v>44145</v>
      </c>
      <c r="G613">
        <v>96</v>
      </c>
      <c r="H613" s="6">
        <v>47067</v>
      </c>
      <c r="I613" t="s">
        <v>888</v>
      </c>
    </row>
    <row r="614" spans="1:9" x14ac:dyDescent="0.3">
      <c r="A614" t="s">
        <v>1508</v>
      </c>
      <c r="B614" t="s">
        <v>884</v>
      </c>
      <c r="C614" t="s">
        <v>885</v>
      </c>
      <c r="D614" t="s">
        <v>929</v>
      </c>
      <c r="E614" t="s">
        <v>895</v>
      </c>
      <c r="F614" s="6">
        <v>44145</v>
      </c>
      <c r="G614">
        <v>96</v>
      </c>
      <c r="H614" s="6">
        <v>47067</v>
      </c>
      <c r="I614" t="s">
        <v>888</v>
      </c>
    </row>
    <row r="615" spans="1:9" x14ac:dyDescent="0.3">
      <c r="A615" t="s">
        <v>1509</v>
      </c>
      <c r="B615" t="s">
        <v>884</v>
      </c>
      <c r="C615" t="s">
        <v>885</v>
      </c>
      <c r="D615" t="s">
        <v>929</v>
      </c>
      <c r="E615" t="s">
        <v>895</v>
      </c>
      <c r="F615" s="6">
        <v>44145</v>
      </c>
      <c r="G615">
        <v>96</v>
      </c>
      <c r="H615" s="6">
        <v>47067</v>
      </c>
      <c r="I615" t="s">
        <v>888</v>
      </c>
    </row>
    <row r="616" spans="1:9" x14ac:dyDescent="0.3">
      <c r="A616" t="s">
        <v>1510</v>
      </c>
      <c r="B616" t="s">
        <v>884</v>
      </c>
      <c r="C616" t="s">
        <v>885</v>
      </c>
      <c r="D616" t="s">
        <v>929</v>
      </c>
      <c r="E616" t="s">
        <v>895</v>
      </c>
      <c r="F616" s="6">
        <v>44145</v>
      </c>
      <c r="G616">
        <v>96</v>
      </c>
      <c r="H616" s="6">
        <v>47067</v>
      </c>
      <c r="I616" t="s">
        <v>888</v>
      </c>
    </row>
    <row r="617" spans="1:9" x14ac:dyDescent="0.3">
      <c r="A617" t="s">
        <v>1511</v>
      </c>
      <c r="B617" t="s">
        <v>884</v>
      </c>
      <c r="C617" t="s">
        <v>885</v>
      </c>
      <c r="D617" t="s">
        <v>929</v>
      </c>
      <c r="E617" t="s">
        <v>895</v>
      </c>
      <c r="F617" s="6">
        <v>44145</v>
      </c>
      <c r="G617">
        <v>96</v>
      </c>
      <c r="H617" s="6">
        <v>47067</v>
      </c>
      <c r="I617" t="s">
        <v>888</v>
      </c>
    </row>
    <row r="618" spans="1:9" x14ac:dyDescent="0.3">
      <c r="A618" t="s">
        <v>1512</v>
      </c>
      <c r="B618" t="s">
        <v>884</v>
      </c>
      <c r="C618" t="s">
        <v>885</v>
      </c>
      <c r="D618" t="s">
        <v>929</v>
      </c>
      <c r="E618" t="s">
        <v>895</v>
      </c>
      <c r="F618" s="6">
        <v>44145</v>
      </c>
      <c r="G618">
        <v>96</v>
      </c>
      <c r="H618" s="6">
        <v>47067</v>
      </c>
      <c r="I618" t="s">
        <v>888</v>
      </c>
    </row>
    <row r="619" spans="1:9" x14ac:dyDescent="0.3">
      <c r="A619" t="s">
        <v>1513</v>
      </c>
      <c r="B619" t="s">
        <v>884</v>
      </c>
      <c r="C619" t="s">
        <v>885</v>
      </c>
      <c r="D619" t="s">
        <v>929</v>
      </c>
      <c r="E619" t="s">
        <v>895</v>
      </c>
      <c r="F619" s="6">
        <v>44145</v>
      </c>
      <c r="G619">
        <v>96</v>
      </c>
      <c r="H619" s="6">
        <v>47067</v>
      </c>
      <c r="I619" t="s">
        <v>888</v>
      </c>
    </row>
    <row r="620" spans="1:9" x14ac:dyDescent="0.3">
      <c r="A620" t="s">
        <v>1514</v>
      </c>
      <c r="B620" t="s">
        <v>884</v>
      </c>
      <c r="C620" t="s">
        <v>885</v>
      </c>
      <c r="D620" t="s">
        <v>929</v>
      </c>
      <c r="E620" t="s">
        <v>895</v>
      </c>
      <c r="F620" s="6">
        <v>44145</v>
      </c>
      <c r="G620">
        <v>96</v>
      </c>
      <c r="H620" s="6">
        <v>47067</v>
      </c>
      <c r="I620" t="s">
        <v>888</v>
      </c>
    </row>
    <row r="621" spans="1:9" x14ac:dyDescent="0.3">
      <c r="A621" t="s">
        <v>1515</v>
      </c>
      <c r="B621" t="s">
        <v>884</v>
      </c>
      <c r="C621" t="s">
        <v>885</v>
      </c>
      <c r="D621" t="s">
        <v>929</v>
      </c>
      <c r="E621" t="s">
        <v>895</v>
      </c>
      <c r="F621" s="6">
        <v>44145</v>
      </c>
      <c r="G621">
        <v>96</v>
      </c>
      <c r="H621" s="6">
        <v>47067</v>
      </c>
      <c r="I621" t="s">
        <v>888</v>
      </c>
    </row>
    <row r="622" spans="1:9" x14ac:dyDescent="0.3">
      <c r="A622" t="s">
        <v>1516</v>
      </c>
      <c r="B622" t="s">
        <v>884</v>
      </c>
      <c r="C622" t="s">
        <v>885</v>
      </c>
      <c r="D622" t="s">
        <v>886</v>
      </c>
      <c r="E622" t="s">
        <v>895</v>
      </c>
      <c r="F622" s="6">
        <v>44155</v>
      </c>
      <c r="G622">
        <v>96</v>
      </c>
      <c r="H622" s="6">
        <v>47077</v>
      </c>
      <c r="I622" t="s">
        <v>888</v>
      </c>
    </row>
    <row r="623" spans="1:9" x14ac:dyDescent="0.3">
      <c r="A623" t="s">
        <v>1517</v>
      </c>
      <c r="B623" t="s">
        <v>884</v>
      </c>
      <c r="C623" t="s">
        <v>885</v>
      </c>
      <c r="D623" t="s">
        <v>893</v>
      </c>
      <c r="E623" t="s">
        <v>895</v>
      </c>
      <c r="F623" s="6">
        <v>44155</v>
      </c>
      <c r="G623">
        <v>96</v>
      </c>
      <c r="H623" s="6">
        <v>47077</v>
      </c>
      <c r="I623" t="s">
        <v>888</v>
      </c>
    </row>
    <row r="624" spans="1:9" x14ac:dyDescent="0.3">
      <c r="A624" t="s">
        <v>1518</v>
      </c>
      <c r="B624" t="s">
        <v>884</v>
      </c>
      <c r="C624" t="s">
        <v>885</v>
      </c>
      <c r="D624" t="s">
        <v>893</v>
      </c>
      <c r="E624" t="s">
        <v>895</v>
      </c>
      <c r="F624" s="6">
        <v>44155</v>
      </c>
      <c r="G624">
        <v>96</v>
      </c>
      <c r="H624" s="6">
        <v>47077</v>
      </c>
      <c r="I624" t="s">
        <v>888</v>
      </c>
    </row>
    <row r="625" spans="1:9" x14ac:dyDescent="0.3">
      <c r="A625" t="s">
        <v>1519</v>
      </c>
      <c r="B625" t="s">
        <v>884</v>
      </c>
      <c r="C625" t="s">
        <v>885</v>
      </c>
      <c r="D625" t="s">
        <v>893</v>
      </c>
      <c r="E625" t="s">
        <v>895</v>
      </c>
      <c r="F625" s="6">
        <v>44155</v>
      </c>
      <c r="G625">
        <v>96</v>
      </c>
      <c r="H625" s="6">
        <v>47077</v>
      </c>
      <c r="I625" t="s">
        <v>888</v>
      </c>
    </row>
    <row r="626" spans="1:9" x14ac:dyDescent="0.3">
      <c r="A626" t="s">
        <v>1520</v>
      </c>
      <c r="B626" t="s">
        <v>884</v>
      </c>
      <c r="C626" t="s">
        <v>885</v>
      </c>
      <c r="D626" t="s">
        <v>893</v>
      </c>
      <c r="E626" t="s">
        <v>895</v>
      </c>
      <c r="F626" s="6">
        <v>44155</v>
      </c>
      <c r="G626">
        <v>96</v>
      </c>
      <c r="H626" s="6">
        <v>47077</v>
      </c>
      <c r="I626" t="s">
        <v>888</v>
      </c>
    </row>
    <row r="627" spans="1:9" x14ac:dyDescent="0.3">
      <c r="A627" t="s">
        <v>1521</v>
      </c>
      <c r="B627" t="s">
        <v>884</v>
      </c>
      <c r="C627" t="s">
        <v>885</v>
      </c>
      <c r="D627" t="s">
        <v>893</v>
      </c>
      <c r="E627" t="s">
        <v>895</v>
      </c>
      <c r="F627" s="6">
        <v>44155</v>
      </c>
      <c r="G627">
        <v>96</v>
      </c>
      <c r="H627" s="6">
        <v>47077</v>
      </c>
      <c r="I627" t="s">
        <v>888</v>
      </c>
    </row>
    <row r="628" spans="1:9" x14ac:dyDescent="0.3">
      <c r="A628" t="s">
        <v>1522</v>
      </c>
      <c r="B628" t="s">
        <v>884</v>
      </c>
      <c r="C628" t="s">
        <v>885</v>
      </c>
      <c r="D628" t="s">
        <v>886</v>
      </c>
      <c r="E628" t="s">
        <v>895</v>
      </c>
      <c r="F628" s="6">
        <v>44155</v>
      </c>
      <c r="G628">
        <v>96</v>
      </c>
      <c r="H628" s="6">
        <v>47077</v>
      </c>
      <c r="I628" t="s">
        <v>888</v>
      </c>
    </row>
    <row r="629" spans="1:9" x14ac:dyDescent="0.3">
      <c r="A629" t="s">
        <v>1523</v>
      </c>
      <c r="B629" t="s">
        <v>884</v>
      </c>
      <c r="C629" t="s">
        <v>885</v>
      </c>
      <c r="D629" t="s">
        <v>893</v>
      </c>
      <c r="E629" t="s">
        <v>895</v>
      </c>
      <c r="F629" s="6">
        <v>44155</v>
      </c>
      <c r="G629">
        <v>96</v>
      </c>
      <c r="H629" s="6">
        <v>47077</v>
      </c>
      <c r="I629" t="s">
        <v>888</v>
      </c>
    </row>
    <row r="630" spans="1:9" x14ac:dyDescent="0.3">
      <c r="A630" t="s">
        <v>1524</v>
      </c>
      <c r="B630" t="s">
        <v>884</v>
      </c>
      <c r="C630" t="s">
        <v>885</v>
      </c>
      <c r="D630" t="s">
        <v>886</v>
      </c>
      <c r="E630" t="s">
        <v>895</v>
      </c>
      <c r="F630" s="6">
        <v>45873</v>
      </c>
      <c r="G630">
        <v>40</v>
      </c>
      <c r="H630" s="6">
        <v>47077</v>
      </c>
      <c r="I630" t="s">
        <v>888</v>
      </c>
    </row>
    <row r="631" spans="1:9" x14ac:dyDescent="0.3">
      <c r="A631" t="s">
        <v>1525</v>
      </c>
      <c r="B631" t="s">
        <v>884</v>
      </c>
      <c r="C631" t="s">
        <v>885</v>
      </c>
      <c r="D631" t="s">
        <v>886</v>
      </c>
      <c r="E631" t="s">
        <v>895</v>
      </c>
      <c r="F631" s="6">
        <v>44155</v>
      </c>
      <c r="G631">
        <v>96</v>
      </c>
      <c r="H631" s="6">
        <v>47077</v>
      </c>
      <c r="I631" t="s">
        <v>888</v>
      </c>
    </row>
    <row r="632" spans="1:9" x14ac:dyDescent="0.3">
      <c r="A632" t="s">
        <v>1526</v>
      </c>
      <c r="B632" t="s">
        <v>884</v>
      </c>
      <c r="C632" t="s">
        <v>885</v>
      </c>
      <c r="D632" t="s">
        <v>893</v>
      </c>
      <c r="E632" t="s">
        <v>895</v>
      </c>
      <c r="F632" s="6">
        <v>44155</v>
      </c>
      <c r="G632">
        <v>96</v>
      </c>
      <c r="H632" s="6">
        <v>47077</v>
      </c>
      <c r="I632" t="s">
        <v>888</v>
      </c>
    </row>
    <row r="633" spans="1:9" x14ac:dyDescent="0.3">
      <c r="A633" t="s">
        <v>1527</v>
      </c>
      <c r="B633" t="s">
        <v>884</v>
      </c>
      <c r="C633" t="s">
        <v>885</v>
      </c>
      <c r="D633" t="s">
        <v>893</v>
      </c>
      <c r="E633" t="s">
        <v>895</v>
      </c>
      <c r="F633" s="6">
        <v>44155</v>
      </c>
      <c r="G633">
        <v>96</v>
      </c>
      <c r="H633" s="6">
        <v>47077</v>
      </c>
      <c r="I633" t="s">
        <v>888</v>
      </c>
    </row>
    <row r="634" spans="1:9" x14ac:dyDescent="0.3">
      <c r="A634" t="s">
        <v>1528</v>
      </c>
      <c r="B634" t="s">
        <v>884</v>
      </c>
      <c r="C634" t="s">
        <v>885</v>
      </c>
      <c r="D634" t="s">
        <v>893</v>
      </c>
      <c r="E634" t="s">
        <v>895</v>
      </c>
      <c r="F634" s="6">
        <v>44155</v>
      </c>
      <c r="G634">
        <v>96</v>
      </c>
      <c r="H634" s="6">
        <v>47077</v>
      </c>
      <c r="I634" t="s">
        <v>888</v>
      </c>
    </row>
    <row r="635" spans="1:9" x14ac:dyDescent="0.3">
      <c r="A635" t="s">
        <v>1529</v>
      </c>
      <c r="B635" t="s">
        <v>884</v>
      </c>
      <c r="C635" t="s">
        <v>885</v>
      </c>
      <c r="D635" t="s">
        <v>893</v>
      </c>
      <c r="E635" t="s">
        <v>895</v>
      </c>
      <c r="F635" s="6">
        <v>44155</v>
      </c>
      <c r="G635">
        <v>96</v>
      </c>
      <c r="H635" s="6">
        <v>47077</v>
      </c>
      <c r="I635" t="s">
        <v>888</v>
      </c>
    </row>
    <row r="636" spans="1:9" x14ac:dyDescent="0.3">
      <c r="A636" t="s">
        <v>1530</v>
      </c>
      <c r="B636" t="s">
        <v>884</v>
      </c>
      <c r="C636" t="s">
        <v>885</v>
      </c>
      <c r="D636" t="s">
        <v>893</v>
      </c>
      <c r="E636" t="s">
        <v>895</v>
      </c>
      <c r="F636" s="6">
        <v>44155</v>
      </c>
      <c r="G636">
        <v>96</v>
      </c>
      <c r="H636" s="6">
        <v>47077</v>
      </c>
      <c r="I636" t="s">
        <v>888</v>
      </c>
    </row>
    <row r="637" spans="1:9" x14ac:dyDescent="0.3">
      <c r="A637" t="s">
        <v>1531</v>
      </c>
      <c r="B637" t="s">
        <v>884</v>
      </c>
      <c r="C637" t="s">
        <v>885</v>
      </c>
      <c r="D637" t="s">
        <v>893</v>
      </c>
      <c r="E637" t="s">
        <v>895</v>
      </c>
      <c r="F637" s="6">
        <v>44155</v>
      </c>
      <c r="G637">
        <v>96</v>
      </c>
      <c r="H637" s="6">
        <v>47077</v>
      </c>
      <c r="I637" t="s">
        <v>888</v>
      </c>
    </row>
    <row r="638" spans="1:9" x14ac:dyDescent="0.3">
      <c r="A638" t="s">
        <v>1532</v>
      </c>
      <c r="B638" t="s">
        <v>884</v>
      </c>
      <c r="C638" t="s">
        <v>885</v>
      </c>
      <c r="D638" t="s">
        <v>893</v>
      </c>
      <c r="E638" t="s">
        <v>895</v>
      </c>
      <c r="F638" s="6">
        <v>44155</v>
      </c>
      <c r="G638">
        <v>96</v>
      </c>
      <c r="H638" s="6">
        <v>47077</v>
      </c>
      <c r="I638" t="s">
        <v>888</v>
      </c>
    </row>
    <row r="639" spans="1:9" x14ac:dyDescent="0.3">
      <c r="A639" t="s">
        <v>1533</v>
      </c>
      <c r="B639" t="s">
        <v>884</v>
      </c>
      <c r="C639" t="s">
        <v>885</v>
      </c>
      <c r="D639" t="s">
        <v>893</v>
      </c>
      <c r="E639" t="s">
        <v>895</v>
      </c>
      <c r="F639" s="6">
        <v>44155</v>
      </c>
      <c r="G639">
        <v>96</v>
      </c>
      <c r="H639" s="6">
        <v>47077</v>
      </c>
      <c r="I639" t="s">
        <v>888</v>
      </c>
    </row>
    <row r="640" spans="1:9" x14ac:dyDescent="0.3">
      <c r="A640" t="s">
        <v>1534</v>
      </c>
      <c r="B640" t="s">
        <v>884</v>
      </c>
      <c r="C640" t="s">
        <v>885</v>
      </c>
      <c r="D640" t="s">
        <v>893</v>
      </c>
      <c r="E640" t="s">
        <v>895</v>
      </c>
      <c r="F640" s="6">
        <v>44155</v>
      </c>
      <c r="G640">
        <v>96</v>
      </c>
      <c r="H640" s="6">
        <v>47077</v>
      </c>
      <c r="I640" t="s">
        <v>888</v>
      </c>
    </row>
    <row r="641" spans="1:9" x14ac:dyDescent="0.3">
      <c r="A641" t="s">
        <v>1535</v>
      </c>
      <c r="B641" t="s">
        <v>884</v>
      </c>
      <c r="C641" t="s">
        <v>885</v>
      </c>
      <c r="D641" t="s">
        <v>886</v>
      </c>
      <c r="E641" t="s">
        <v>895</v>
      </c>
      <c r="F641" s="6">
        <v>44155</v>
      </c>
      <c r="G641">
        <v>96</v>
      </c>
      <c r="H641" s="6">
        <v>47077</v>
      </c>
      <c r="I641" t="s">
        <v>888</v>
      </c>
    </row>
    <row r="642" spans="1:9" x14ac:dyDescent="0.3">
      <c r="A642" t="s">
        <v>1536</v>
      </c>
      <c r="B642" t="s">
        <v>884</v>
      </c>
      <c r="C642" t="s">
        <v>885</v>
      </c>
      <c r="D642" t="s">
        <v>886</v>
      </c>
      <c r="E642" t="s">
        <v>895</v>
      </c>
      <c r="F642" s="6">
        <v>44155</v>
      </c>
      <c r="G642">
        <v>96</v>
      </c>
      <c r="H642" s="6">
        <v>47077</v>
      </c>
      <c r="I642" t="s">
        <v>888</v>
      </c>
    </row>
    <row r="643" spans="1:9" x14ac:dyDescent="0.3">
      <c r="A643" t="s">
        <v>1537</v>
      </c>
      <c r="B643" t="s">
        <v>884</v>
      </c>
      <c r="C643" t="s">
        <v>885</v>
      </c>
      <c r="D643" t="s">
        <v>886</v>
      </c>
      <c r="E643" t="s">
        <v>895</v>
      </c>
      <c r="F643" s="6">
        <v>44155</v>
      </c>
      <c r="G643">
        <v>96</v>
      </c>
      <c r="H643" s="6">
        <v>47077</v>
      </c>
      <c r="I643" t="s">
        <v>888</v>
      </c>
    </row>
    <row r="644" spans="1:9" x14ac:dyDescent="0.3">
      <c r="A644" t="s">
        <v>1538</v>
      </c>
      <c r="B644" t="s">
        <v>884</v>
      </c>
      <c r="C644" t="s">
        <v>885</v>
      </c>
      <c r="D644" t="s">
        <v>886</v>
      </c>
      <c r="E644" t="s">
        <v>895</v>
      </c>
      <c r="F644" s="6">
        <v>44155</v>
      </c>
      <c r="G644">
        <v>96</v>
      </c>
      <c r="H644" s="6">
        <v>47077</v>
      </c>
      <c r="I644" t="s">
        <v>888</v>
      </c>
    </row>
    <row r="645" spans="1:9" x14ac:dyDescent="0.3">
      <c r="A645" t="s">
        <v>1539</v>
      </c>
      <c r="B645" t="s">
        <v>884</v>
      </c>
      <c r="C645" t="s">
        <v>885</v>
      </c>
      <c r="D645" t="s">
        <v>904</v>
      </c>
      <c r="E645" t="s">
        <v>895</v>
      </c>
      <c r="F645" s="6">
        <v>44155</v>
      </c>
      <c r="G645">
        <v>96</v>
      </c>
      <c r="H645" s="6">
        <v>47077</v>
      </c>
      <c r="I645" t="s">
        <v>888</v>
      </c>
    </row>
    <row r="646" spans="1:9" x14ac:dyDescent="0.3">
      <c r="A646" t="s">
        <v>1540</v>
      </c>
      <c r="B646" t="s">
        <v>884</v>
      </c>
      <c r="C646" t="s">
        <v>885</v>
      </c>
      <c r="D646" t="s">
        <v>893</v>
      </c>
      <c r="E646" t="s">
        <v>895</v>
      </c>
      <c r="F646" s="6">
        <v>44155</v>
      </c>
      <c r="G646">
        <v>96</v>
      </c>
      <c r="H646" s="6">
        <v>47077</v>
      </c>
      <c r="I646" t="s">
        <v>888</v>
      </c>
    </row>
    <row r="647" spans="1:9" x14ac:dyDescent="0.3">
      <c r="A647" t="s">
        <v>1541</v>
      </c>
      <c r="B647" t="s">
        <v>884</v>
      </c>
      <c r="C647" t="s">
        <v>885</v>
      </c>
      <c r="D647" t="s">
        <v>893</v>
      </c>
      <c r="E647" t="s">
        <v>895</v>
      </c>
      <c r="F647" s="6">
        <v>44155</v>
      </c>
      <c r="G647">
        <v>96</v>
      </c>
      <c r="H647" s="6">
        <v>47077</v>
      </c>
      <c r="I647" t="s">
        <v>888</v>
      </c>
    </row>
    <row r="648" spans="1:9" x14ac:dyDescent="0.3">
      <c r="A648" t="s">
        <v>1542</v>
      </c>
      <c r="B648" t="s">
        <v>884</v>
      </c>
      <c r="C648" t="s">
        <v>885</v>
      </c>
      <c r="D648" t="s">
        <v>893</v>
      </c>
      <c r="E648" t="s">
        <v>895</v>
      </c>
      <c r="F648" s="6">
        <v>44155</v>
      </c>
      <c r="G648">
        <v>96</v>
      </c>
      <c r="H648" s="6">
        <v>47077</v>
      </c>
      <c r="I648" t="s">
        <v>888</v>
      </c>
    </row>
    <row r="649" spans="1:9" x14ac:dyDescent="0.3">
      <c r="A649" t="s">
        <v>1543</v>
      </c>
      <c r="B649" t="s">
        <v>884</v>
      </c>
      <c r="C649" t="s">
        <v>885</v>
      </c>
      <c r="D649" t="s">
        <v>893</v>
      </c>
      <c r="E649" t="s">
        <v>895</v>
      </c>
      <c r="F649" s="6">
        <v>44155</v>
      </c>
      <c r="G649">
        <v>96</v>
      </c>
      <c r="H649" s="6">
        <v>47077</v>
      </c>
      <c r="I649" t="s">
        <v>888</v>
      </c>
    </row>
    <row r="650" spans="1:9" x14ac:dyDescent="0.3">
      <c r="A650" t="s">
        <v>1544</v>
      </c>
      <c r="B650" t="s">
        <v>884</v>
      </c>
      <c r="C650" t="s">
        <v>885</v>
      </c>
      <c r="D650" t="s">
        <v>937</v>
      </c>
      <c r="E650" t="s">
        <v>895</v>
      </c>
      <c r="F650" s="6">
        <v>44155</v>
      </c>
      <c r="G650">
        <v>96</v>
      </c>
      <c r="H650" s="6">
        <v>47077</v>
      </c>
      <c r="I650" t="s">
        <v>888</v>
      </c>
    </row>
    <row r="651" spans="1:9" x14ac:dyDescent="0.3">
      <c r="A651" t="s">
        <v>1545</v>
      </c>
      <c r="B651" t="s">
        <v>884</v>
      </c>
      <c r="C651" t="s">
        <v>885</v>
      </c>
      <c r="D651" t="s">
        <v>937</v>
      </c>
      <c r="E651" t="s">
        <v>895</v>
      </c>
      <c r="F651" s="6">
        <v>44155</v>
      </c>
      <c r="G651">
        <v>96</v>
      </c>
      <c r="H651" s="6">
        <v>47077</v>
      </c>
      <c r="I651" t="s">
        <v>888</v>
      </c>
    </row>
    <row r="652" spans="1:9" x14ac:dyDescent="0.3">
      <c r="A652" t="s">
        <v>1546</v>
      </c>
      <c r="B652" t="s">
        <v>884</v>
      </c>
      <c r="C652" t="s">
        <v>885</v>
      </c>
      <c r="D652" t="s">
        <v>937</v>
      </c>
      <c r="E652" t="s">
        <v>895</v>
      </c>
      <c r="F652" s="6">
        <v>44155</v>
      </c>
      <c r="G652">
        <v>96</v>
      </c>
      <c r="H652" s="6">
        <v>47077</v>
      </c>
      <c r="I652" t="s">
        <v>888</v>
      </c>
    </row>
    <row r="653" spans="1:9" x14ac:dyDescent="0.3">
      <c r="A653" t="s">
        <v>1547</v>
      </c>
      <c r="B653" t="s">
        <v>884</v>
      </c>
      <c r="C653" t="s">
        <v>885</v>
      </c>
      <c r="D653" t="s">
        <v>904</v>
      </c>
      <c r="E653" t="s">
        <v>895</v>
      </c>
      <c r="F653" s="6">
        <v>44169</v>
      </c>
      <c r="G653">
        <v>96</v>
      </c>
      <c r="H653" s="6">
        <v>47091</v>
      </c>
      <c r="I653" t="s">
        <v>888</v>
      </c>
    </row>
    <row r="654" spans="1:9" x14ac:dyDescent="0.3">
      <c r="A654" t="s">
        <v>1548</v>
      </c>
      <c r="B654" t="s">
        <v>884</v>
      </c>
      <c r="C654" t="s">
        <v>885</v>
      </c>
      <c r="D654" t="s">
        <v>909</v>
      </c>
      <c r="E654" t="s">
        <v>895</v>
      </c>
      <c r="F654" s="6">
        <v>44169</v>
      </c>
      <c r="G654">
        <v>96</v>
      </c>
      <c r="H654" s="6">
        <v>47091</v>
      </c>
      <c r="I654" t="s">
        <v>888</v>
      </c>
    </row>
    <row r="655" spans="1:9" x14ac:dyDescent="0.3">
      <c r="A655" t="s">
        <v>1549</v>
      </c>
      <c r="B655" t="s">
        <v>884</v>
      </c>
      <c r="C655" t="s">
        <v>885</v>
      </c>
      <c r="D655" t="s">
        <v>909</v>
      </c>
      <c r="E655" t="s">
        <v>895</v>
      </c>
      <c r="F655" s="6">
        <v>44169</v>
      </c>
      <c r="G655">
        <v>96</v>
      </c>
      <c r="H655" s="6">
        <v>47091</v>
      </c>
      <c r="I655" t="s">
        <v>888</v>
      </c>
    </row>
    <row r="656" spans="1:9" x14ac:dyDescent="0.3">
      <c r="A656" t="s">
        <v>1550</v>
      </c>
      <c r="B656" t="s">
        <v>884</v>
      </c>
      <c r="C656" t="s">
        <v>885</v>
      </c>
      <c r="D656" t="s">
        <v>904</v>
      </c>
      <c r="E656" t="s">
        <v>895</v>
      </c>
      <c r="F656" s="6">
        <v>44169</v>
      </c>
      <c r="G656">
        <v>96</v>
      </c>
      <c r="H656" s="6">
        <v>47091</v>
      </c>
      <c r="I656" t="s">
        <v>888</v>
      </c>
    </row>
    <row r="657" spans="1:9" x14ac:dyDescent="0.3">
      <c r="A657" t="s">
        <v>1551</v>
      </c>
      <c r="B657" t="s">
        <v>884</v>
      </c>
      <c r="C657" t="s">
        <v>885</v>
      </c>
      <c r="D657" t="s">
        <v>904</v>
      </c>
      <c r="E657" t="s">
        <v>895</v>
      </c>
      <c r="F657" s="6">
        <v>44169</v>
      </c>
      <c r="G657">
        <v>96</v>
      </c>
      <c r="H657" s="6">
        <v>47091</v>
      </c>
      <c r="I657" t="s">
        <v>888</v>
      </c>
    </row>
    <row r="658" spans="1:9" x14ac:dyDescent="0.3">
      <c r="A658" t="s">
        <v>1552</v>
      </c>
      <c r="B658" t="s">
        <v>884</v>
      </c>
      <c r="C658" t="s">
        <v>885</v>
      </c>
      <c r="D658" t="s">
        <v>937</v>
      </c>
      <c r="E658" t="s">
        <v>895</v>
      </c>
      <c r="F658" s="6">
        <v>44901</v>
      </c>
      <c r="G658">
        <v>72</v>
      </c>
      <c r="H658" s="6">
        <v>47093</v>
      </c>
      <c r="I658" t="s">
        <v>888</v>
      </c>
    </row>
    <row r="659" spans="1:9" x14ac:dyDescent="0.3">
      <c r="A659" t="s">
        <v>1553</v>
      </c>
      <c r="B659" t="s">
        <v>884</v>
      </c>
      <c r="C659" t="s">
        <v>885</v>
      </c>
      <c r="D659" t="s">
        <v>891</v>
      </c>
      <c r="E659" t="s">
        <v>895</v>
      </c>
      <c r="F659" s="6">
        <v>44188</v>
      </c>
      <c r="G659">
        <v>96</v>
      </c>
      <c r="H659" s="6">
        <v>47110</v>
      </c>
      <c r="I659" t="s">
        <v>888</v>
      </c>
    </row>
    <row r="660" spans="1:9" x14ac:dyDescent="0.3">
      <c r="A660" t="s">
        <v>1554</v>
      </c>
      <c r="B660" t="s">
        <v>884</v>
      </c>
      <c r="C660" t="s">
        <v>885</v>
      </c>
      <c r="D660" t="s">
        <v>891</v>
      </c>
      <c r="E660" t="s">
        <v>895</v>
      </c>
      <c r="F660" s="6">
        <v>44188</v>
      </c>
      <c r="G660">
        <v>96</v>
      </c>
      <c r="H660" s="6">
        <v>47110</v>
      </c>
      <c r="I660" t="s">
        <v>888</v>
      </c>
    </row>
    <row r="661" spans="1:9" x14ac:dyDescent="0.3">
      <c r="A661" t="s">
        <v>1555</v>
      </c>
      <c r="B661" t="s">
        <v>884</v>
      </c>
      <c r="C661" t="s">
        <v>885</v>
      </c>
      <c r="D661" t="s">
        <v>893</v>
      </c>
      <c r="E661" t="s">
        <v>895</v>
      </c>
      <c r="F661" s="6">
        <v>44922</v>
      </c>
      <c r="G661">
        <v>72</v>
      </c>
      <c r="H661" s="6">
        <v>47114</v>
      </c>
      <c r="I661" t="s">
        <v>888</v>
      </c>
    </row>
    <row r="662" spans="1:9" x14ac:dyDescent="0.3">
      <c r="A662" t="s">
        <v>1556</v>
      </c>
      <c r="B662" t="s">
        <v>884</v>
      </c>
      <c r="C662" t="s">
        <v>885</v>
      </c>
      <c r="D662" t="s">
        <v>893</v>
      </c>
      <c r="E662" t="s">
        <v>895</v>
      </c>
      <c r="F662" s="6">
        <v>44935</v>
      </c>
      <c r="G662">
        <v>72</v>
      </c>
      <c r="H662" s="6">
        <v>47127</v>
      </c>
      <c r="I662" t="s">
        <v>888</v>
      </c>
    </row>
    <row r="663" spans="1:9" x14ac:dyDescent="0.3">
      <c r="A663" t="s">
        <v>1557</v>
      </c>
      <c r="B663" t="s">
        <v>884</v>
      </c>
      <c r="C663" t="s">
        <v>885</v>
      </c>
      <c r="D663" t="s">
        <v>886</v>
      </c>
      <c r="E663" t="s">
        <v>895</v>
      </c>
      <c r="F663" s="6">
        <v>44945</v>
      </c>
      <c r="G663">
        <v>72</v>
      </c>
      <c r="H663" s="6">
        <v>47137</v>
      </c>
      <c r="I663" t="s">
        <v>888</v>
      </c>
    </row>
    <row r="664" spans="1:9" x14ac:dyDescent="0.3">
      <c r="A664" t="s">
        <v>1558</v>
      </c>
      <c r="B664" t="s">
        <v>884</v>
      </c>
      <c r="C664" t="s">
        <v>885</v>
      </c>
      <c r="D664" t="s">
        <v>937</v>
      </c>
      <c r="E664" t="s">
        <v>895</v>
      </c>
      <c r="F664" s="6">
        <v>42754</v>
      </c>
      <c r="G664">
        <v>144</v>
      </c>
      <c r="H664" s="6">
        <v>47137</v>
      </c>
      <c r="I664" t="s">
        <v>888</v>
      </c>
    </row>
    <row r="665" spans="1:9" x14ac:dyDescent="0.3">
      <c r="A665" t="s">
        <v>1559</v>
      </c>
      <c r="B665" t="s">
        <v>884</v>
      </c>
      <c r="C665" t="s">
        <v>885</v>
      </c>
      <c r="D665" t="s">
        <v>937</v>
      </c>
      <c r="E665" t="s">
        <v>895</v>
      </c>
      <c r="F665" s="6">
        <v>44946</v>
      </c>
      <c r="G665">
        <v>72</v>
      </c>
      <c r="H665" s="6">
        <v>47138</v>
      </c>
      <c r="I665" t="s">
        <v>888</v>
      </c>
    </row>
    <row r="666" spans="1:9" x14ac:dyDescent="0.3">
      <c r="A666" t="s">
        <v>1560</v>
      </c>
      <c r="B666" t="s">
        <v>884</v>
      </c>
      <c r="C666" t="s">
        <v>885</v>
      </c>
      <c r="D666" t="s">
        <v>893</v>
      </c>
      <c r="E666" t="s">
        <v>895</v>
      </c>
      <c r="F666" s="6">
        <v>44155</v>
      </c>
      <c r="G666">
        <v>98</v>
      </c>
      <c r="H666" s="6">
        <v>47138</v>
      </c>
      <c r="I666" t="s">
        <v>888</v>
      </c>
    </row>
    <row r="667" spans="1:9" x14ac:dyDescent="0.3">
      <c r="A667" t="s">
        <v>1561</v>
      </c>
      <c r="B667" t="s">
        <v>884</v>
      </c>
      <c r="C667" t="s">
        <v>885</v>
      </c>
      <c r="D667" t="s">
        <v>937</v>
      </c>
      <c r="E667" t="s">
        <v>895</v>
      </c>
      <c r="F667" s="6">
        <v>43486</v>
      </c>
      <c r="G667">
        <v>120</v>
      </c>
      <c r="H667" s="6">
        <v>47139</v>
      </c>
      <c r="I667" t="s">
        <v>888</v>
      </c>
    </row>
    <row r="668" spans="1:9" x14ac:dyDescent="0.3">
      <c r="A668" t="s">
        <v>1562</v>
      </c>
      <c r="B668" t="s">
        <v>884</v>
      </c>
      <c r="C668" t="s">
        <v>885</v>
      </c>
      <c r="D668" t="s">
        <v>909</v>
      </c>
      <c r="E668" t="s">
        <v>895</v>
      </c>
      <c r="F668" s="6">
        <v>44960</v>
      </c>
      <c r="G668">
        <v>72</v>
      </c>
      <c r="H668" s="6">
        <v>47152</v>
      </c>
      <c r="I668" t="s">
        <v>888</v>
      </c>
    </row>
    <row r="669" spans="1:9" x14ac:dyDescent="0.3">
      <c r="A669" t="s">
        <v>1563</v>
      </c>
      <c r="B669" t="s">
        <v>884</v>
      </c>
      <c r="C669" t="s">
        <v>885</v>
      </c>
      <c r="D669" t="s">
        <v>929</v>
      </c>
      <c r="E669" t="s">
        <v>895</v>
      </c>
      <c r="F669" s="6">
        <v>43501</v>
      </c>
      <c r="G669">
        <v>120</v>
      </c>
      <c r="H669" s="6">
        <v>47154</v>
      </c>
      <c r="I669" t="s">
        <v>888</v>
      </c>
    </row>
    <row r="670" spans="1:9" x14ac:dyDescent="0.3">
      <c r="A670" t="s">
        <v>1564</v>
      </c>
      <c r="B670" t="s">
        <v>884</v>
      </c>
      <c r="C670" t="s">
        <v>885</v>
      </c>
      <c r="D670" t="s">
        <v>929</v>
      </c>
      <c r="E670" t="s">
        <v>895</v>
      </c>
      <c r="F670" s="6">
        <v>43503</v>
      </c>
      <c r="G670">
        <v>120</v>
      </c>
      <c r="H670" s="6">
        <v>47156</v>
      </c>
      <c r="I670" t="s">
        <v>888</v>
      </c>
    </row>
    <row r="671" spans="1:9" x14ac:dyDescent="0.3">
      <c r="A671" t="s">
        <v>1565</v>
      </c>
      <c r="B671" t="s">
        <v>884</v>
      </c>
      <c r="C671" t="s">
        <v>885</v>
      </c>
      <c r="D671" t="s">
        <v>929</v>
      </c>
      <c r="E671" t="s">
        <v>895</v>
      </c>
      <c r="F671" s="6">
        <v>43503</v>
      </c>
      <c r="G671">
        <v>120</v>
      </c>
      <c r="H671" s="6">
        <v>47156</v>
      </c>
      <c r="I671" t="s">
        <v>888</v>
      </c>
    </row>
    <row r="672" spans="1:9" x14ac:dyDescent="0.3">
      <c r="A672" t="s">
        <v>1566</v>
      </c>
      <c r="B672" t="s">
        <v>884</v>
      </c>
      <c r="C672" t="s">
        <v>885</v>
      </c>
      <c r="D672" t="s">
        <v>904</v>
      </c>
      <c r="E672" t="s">
        <v>895</v>
      </c>
      <c r="F672" s="6">
        <v>43510</v>
      </c>
      <c r="G672">
        <v>120</v>
      </c>
      <c r="H672" s="6">
        <v>47163</v>
      </c>
      <c r="I672" t="s">
        <v>888</v>
      </c>
    </row>
    <row r="673" spans="1:9" x14ac:dyDescent="0.3">
      <c r="A673" t="s">
        <v>1567</v>
      </c>
      <c r="B673" t="s">
        <v>884</v>
      </c>
      <c r="C673" t="s">
        <v>885</v>
      </c>
      <c r="D673" t="s">
        <v>904</v>
      </c>
      <c r="E673" t="s">
        <v>895</v>
      </c>
      <c r="F673" s="6">
        <v>43510</v>
      </c>
      <c r="G673">
        <v>120</v>
      </c>
      <c r="H673" s="6">
        <v>47163</v>
      </c>
      <c r="I673" t="s">
        <v>888</v>
      </c>
    </row>
    <row r="674" spans="1:9" x14ac:dyDescent="0.3">
      <c r="A674" t="s">
        <v>1568</v>
      </c>
      <c r="B674" t="s">
        <v>884</v>
      </c>
      <c r="C674" t="s">
        <v>885</v>
      </c>
      <c r="D674" t="s">
        <v>886</v>
      </c>
      <c r="E674" t="s">
        <v>895</v>
      </c>
      <c r="F674" s="6">
        <v>43516</v>
      </c>
      <c r="G674">
        <v>120</v>
      </c>
      <c r="H674" s="6">
        <v>47169</v>
      </c>
      <c r="I674" t="s">
        <v>888</v>
      </c>
    </row>
    <row r="675" spans="1:9" x14ac:dyDescent="0.3">
      <c r="A675" t="s">
        <v>1569</v>
      </c>
      <c r="B675" t="s">
        <v>884</v>
      </c>
      <c r="C675" t="s">
        <v>885</v>
      </c>
      <c r="D675" t="s">
        <v>886</v>
      </c>
      <c r="E675" t="s">
        <v>895</v>
      </c>
      <c r="F675" s="6">
        <v>43516</v>
      </c>
      <c r="G675">
        <v>120</v>
      </c>
      <c r="H675" s="6">
        <v>47169</v>
      </c>
      <c r="I675" t="s">
        <v>888</v>
      </c>
    </row>
    <row r="676" spans="1:9" x14ac:dyDescent="0.3">
      <c r="A676" t="s">
        <v>1570</v>
      </c>
      <c r="B676" t="s">
        <v>884</v>
      </c>
      <c r="C676" t="s">
        <v>885</v>
      </c>
      <c r="D676" t="s">
        <v>886</v>
      </c>
      <c r="E676" t="s">
        <v>895</v>
      </c>
      <c r="F676" s="6">
        <v>43516</v>
      </c>
      <c r="G676">
        <v>120</v>
      </c>
      <c r="H676" s="6">
        <v>47169</v>
      </c>
      <c r="I676" t="s">
        <v>888</v>
      </c>
    </row>
    <row r="677" spans="1:9" x14ac:dyDescent="0.3">
      <c r="A677" t="s">
        <v>1571</v>
      </c>
      <c r="B677" t="s">
        <v>884</v>
      </c>
      <c r="C677" t="s">
        <v>885</v>
      </c>
      <c r="D677" t="s">
        <v>886</v>
      </c>
      <c r="E677" t="s">
        <v>895</v>
      </c>
      <c r="F677" s="6">
        <v>45890</v>
      </c>
      <c r="G677">
        <v>43</v>
      </c>
      <c r="H677" s="6">
        <v>47190</v>
      </c>
      <c r="I677" t="s">
        <v>888</v>
      </c>
    </row>
    <row r="678" spans="1:9" x14ac:dyDescent="0.3">
      <c r="A678" t="s">
        <v>1572</v>
      </c>
      <c r="B678" t="s">
        <v>884</v>
      </c>
      <c r="C678" t="s">
        <v>885</v>
      </c>
      <c r="D678" t="s">
        <v>886</v>
      </c>
      <c r="E678" t="s">
        <v>895</v>
      </c>
      <c r="F678" s="6">
        <v>45730</v>
      </c>
      <c r="G678">
        <v>48</v>
      </c>
      <c r="H678" s="6">
        <v>47191</v>
      </c>
      <c r="I678" t="s">
        <v>888</v>
      </c>
    </row>
    <row r="679" spans="1:9" x14ac:dyDescent="0.3">
      <c r="A679" t="s">
        <v>1573</v>
      </c>
      <c r="B679" t="s">
        <v>884</v>
      </c>
      <c r="C679" t="s">
        <v>885</v>
      </c>
      <c r="D679" t="s">
        <v>891</v>
      </c>
      <c r="E679" t="s">
        <v>895</v>
      </c>
      <c r="F679" s="6">
        <v>45006</v>
      </c>
      <c r="G679">
        <v>72</v>
      </c>
      <c r="H679" s="6">
        <v>47198</v>
      </c>
      <c r="I679" t="s">
        <v>888</v>
      </c>
    </row>
    <row r="680" spans="1:9" x14ac:dyDescent="0.3">
      <c r="A680" t="s">
        <v>1574</v>
      </c>
      <c r="B680" t="s">
        <v>884</v>
      </c>
      <c r="C680" t="s">
        <v>885</v>
      </c>
      <c r="D680" t="s">
        <v>893</v>
      </c>
      <c r="E680" t="s">
        <v>895</v>
      </c>
      <c r="F680" s="6">
        <v>45019</v>
      </c>
      <c r="G680">
        <v>72</v>
      </c>
      <c r="H680" s="6">
        <v>47211</v>
      </c>
      <c r="I680" t="s">
        <v>888</v>
      </c>
    </row>
    <row r="681" spans="1:9" x14ac:dyDescent="0.3">
      <c r="A681" t="s">
        <v>1575</v>
      </c>
      <c r="B681" t="s">
        <v>884</v>
      </c>
      <c r="C681" t="s">
        <v>885</v>
      </c>
      <c r="D681" t="s">
        <v>893</v>
      </c>
      <c r="E681" t="s">
        <v>895</v>
      </c>
      <c r="F681" s="6">
        <v>45019</v>
      </c>
      <c r="G681">
        <v>72</v>
      </c>
      <c r="H681" s="6">
        <v>47211</v>
      </c>
      <c r="I681" t="s">
        <v>888</v>
      </c>
    </row>
    <row r="682" spans="1:9" x14ac:dyDescent="0.3">
      <c r="A682" t="s">
        <v>1576</v>
      </c>
      <c r="B682" t="s">
        <v>884</v>
      </c>
      <c r="C682" t="s">
        <v>885</v>
      </c>
      <c r="D682" t="s">
        <v>891</v>
      </c>
      <c r="E682" t="s">
        <v>895</v>
      </c>
      <c r="F682" s="6">
        <v>45021</v>
      </c>
      <c r="G682">
        <v>72</v>
      </c>
      <c r="H682" s="6">
        <v>47213</v>
      </c>
      <c r="I682" t="s">
        <v>888</v>
      </c>
    </row>
    <row r="683" spans="1:9" x14ac:dyDescent="0.3">
      <c r="A683" t="s">
        <v>1577</v>
      </c>
      <c r="B683" t="s">
        <v>884</v>
      </c>
      <c r="C683" t="s">
        <v>885</v>
      </c>
      <c r="D683" t="s">
        <v>891</v>
      </c>
      <c r="E683" t="s">
        <v>895</v>
      </c>
      <c r="F683" s="6">
        <v>45021</v>
      </c>
      <c r="G683">
        <v>72</v>
      </c>
      <c r="H683" s="6">
        <v>47213</v>
      </c>
      <c r="I683" t="s">
        <v>888</v>
      </c>
    </row>
    <row r="684" spans="1:9" x14ac:dyDescent="0.3">
      <c r="A684" t="s">
        <v>1578</v>
      </c>
      <c r="B684" t="s">
        <v>884</v>
      </c>
      <c r="C684" t="s">
        <v>885</v>
      </c>
      <c r="D684" t="s">
        <v>891</v>
      </c>
      <c r="E684" t="s">
        <v>895</v>
      </c>
      <c r="F684" s="6">
        <v>45021</v>
      </c>
      <c r="G684">
        <v>72</v>
      </c>
      <c r="H684" s="6">
        <v>47213</v>
      </c>
      <c r="I684" t="s">
        <v>888</v>
      </c>
    </row>
    <row r="685" spans="1:9" x14ac:dyDescent="0.3">
      <c r="A685" t="s">
        <v>1579</v>
      </c>
      <c r="B685" t="s">
        <v>884</v>
      </c>
      <c r="C685" t="s">
        <v>885</v>
      </c>
      <c r="D685" t="s">
        <v>886</v>
      </c>
      <c r="E685" t="s">
        <v>895</v>
      </c>
      <c r="F685" s="6">
        <v>45028</v>
      </c>
      <c r="G685">
        <v>72</v>
      </c>
      <c r="H685" s="6">
        <v>47220</v>
      </c>
      <c r="I685" t="s">
        <v>888</v>
      </c>
    </row>
    <row r="686" spans="1:9" x14ac:dyDescent="0.3">
      <c r="A686" t="s">
        <v>1580</v>
      </c>
      <c r="B686" t="s">
        <v>884</v>
      </c>
      <c r="C686" t="s">
        <v>885</v>
      </c>
      <c r="D686" t="s">
        <v>891</v>
      </c>
      <c r="E686" t="s">
        <v>895</v>
      </c>
      <c r="F686" s="6">
        <v>43570</v>
      </c>
      <c r="G686">
        <v>120</v>
      </c>
      <c r="H686" s="6">
        <v>47223</v>
      </c>
      <c r="I686" t="s">
        <v>888</v>
      </c>
    </row>
    <row r="687" spans="1:9" x14ac:dyDescent="0.3">
      <c r="A687" t="s">
        <v>1581</v>
      </c>
      <c r="B687" t="s">
        <v>884</v>
      </c>
      <c r="C687" t="s">
        <v>885</v>
      </c>
      <c r="D687" t="s">
        <v>891</v>
      </c>
      <c r="E687" t="s">
        <v>895</v>
      </c>
      <c r="F687" s="6">
        <v>43570</v>
      </c>
      <c r="G687">
        <v>120</v>
      </c>
      <c r="H687" s="6">
        <v>47223</v>
      </c>
      <c r="I687" t="s">
        <v>888</v>
      </c>
    </row>
    <row r="688" spans="1:9" x14ac:dyDescent="0.3">
      <c r="A688" t="s">
        <v>1582</v>
      </c>
      <c r="B688" t="s">
        <v>884</v>
      </c>
      <c r="C688" t="s">
        <v>885</v>
      </c>
      <c r="D688" t="s">
        <v>893</v>
      </c>
      <c r="E688" t="s">
        <v>895</v>
      </c>
      <c r="F688" s="6">
        <v>43572</v>
      </c>
      <c r="G688">
        <v>120</v>
      </c>
      <c r="H688" s="6">
        <v>47225</v>
      </c>
      <c r="I688" t="s">
        <v>888</v>
      </c>
    </row>
    <row r="689" spans="1:9" x14ac:dyDescent="0.3">
      <c r="A689" t="s">
        <v>1583</v>
      </c>
      <c r="B689" t="s">
        <v>884</v>
      </c>
      <c r="C689" t="s">
        <v>885</v>
      </c>
      <c r="D689" t="s">
        <v>886</v>
      </c>
      <c r="E689" t="s">
        <v>895</v>
      </c>
      <c r="F689" s="6">
        <v>45035</v>
      </c>
      <c r="G689">
        <v>72</v>
      </c>
      <c r="H689" s="6">
        <v>47227</v>
      </c>
      <c r="I689" t="s">
        <v>888</v>
      </c>
    </row>
    <row r="690" spans="1:9" x14ac:dyDescent="0.3">
      <c r="A690" t="s">
        <v>1584</v>
      </c>
      <c r="B690" t="s">
        <v>884</v>
      </c>
      <c r="C690" t="s">
        <v>885</v>
      </c>
      <c r="D690" t="s">
        <v>891</v>
      </c>
      <c r="E690" t="s">
        <v>895</v>
      </c>
      <c r="F690" s="6">
        <v>43574</v>
      </c>
      <c r="G690">
        <v>120</v>
      </c>
      <c r="H690" s="6">
        <v>47227</v>
      </c>
      <c r="I690" t="s">
        <v>888</v>
      </c>
    </row>
    <row r="691" spans="1:9" x14ac:dyDescent="0.3">
      <c r="A691" t="s">
        <v>1585</v>
      </c>
      <c r="B691" t="s">
        <v>884</v>
      </c>
      <c r="C691" t="s">
        <v>885</v>
      </c>
      <c r="D691" t="s">
        <v>937</v>
      </c>
      <c r="E691" t="s">
        <v>895</v>
      </c>
      <c r="F691" s="6">
        <v>44155</v>
      </c>
      <c r="G691">
        <v>101</v>
      </c>
      <c r="H691" s="6">
        <v>47228</v>
      </c>
      <c r="I691" t="s">
        <v>888</v>
      </c>
    </row>
    <row r="692" spans="1:9" x14ac:dyDescent="0.3">
      <c r="A692" t="s">
        <v>1586</v>
      </c>
      <c r="B692" t="s">
        <v>884</v>
      </c>
      <c r="C692" t="s">
        <v>885</v>
      </c>
      <c r="D692" t="s">
        <v>893</v>
      </c>
      <c r="E692" t="s">
        <v>895</v>
      </c>
      <c r="F692" s="6">
        <v>43584</v>
      </c>
      <c r="G692">
        <v>120</v>
      </c>
      <c r="H692" s="6">
        <v>47237</v>
      </c>
      <c r="I692" t="s">
        <v>888</v>
      </c>
    </row>
    <row r="693" spans="1:9" x14ac:dyDescent="0.3">
      <c r="A693" t="s">
        <v>1587</v>
      </c>
      <c r="B693" t="s">
        <v>884</v>
      </c>
      <c r="C693" t="s">
        <v>885</v>
      </c>
      <c r="D693" t="s">
        <v>891</v>
      </c>
      <c r="E693" t="s">
        <v>895</v>
      </c>
      <c r="F693" s="6">
        <v>43584</v>
      </c>
      <c r="G693">
        <v>120</v>
      </c>
      <c r="H693" s="6">
        <v>47237</v>
      </c>
      <c r="I693" t="s">
        <v>888</v>
      </c>
    </row>
    <row r="694" spans="1:9" x14ac:dyDescent="0.3">
      <c r="A694" t="s">
        <v>1588</v>
      </c>
      <c r="B694" t="s">
        <v>884</v>
      </c>
      <c r="C694" t="s">
        <v>885</v>
      </c>
      <c r="D694" t="s">
        <v>893</v>
      </c>
      <c r="E694" t="s">
        <v>895</v>
      </c>
      <c r="F694" s="6">
        <v>43591</v>
      </c>
      <c r="G694">
        <v>120</v>
      </c>
      <c r="H694" s="6">
        <v>47244</v>
      </c>
      <c r="I694" t="s">
        <v>888</v>
      </c>
    </row>
    <row r="695" spans="1:9" x14ac:dyDescent="0.3">
      <c r="A695" t="s">
        <v>1589</v>
      </c>
      <c r="B695" t="s">
        <v>884</v>
      </c>
      <c r="C695" t="s">
        <v>885</v>
      </c>
      <c r="D695" t="s">
        <v>909</v>
      </c>
      <c r="E695" t="s">
        <v>895</v>
      </c>
      <c r="F695" s="6">
        <v>42132</v>
      </c>
      <c r="G695">
        <v>168</v>
      </c>
      <c r="H695" s="6">
        <v>47246</v>
      </c>
      <c r="I695" t="s">
        <v>888</v>
      </c>
    </row>
    <row r="696" spans="1:9" x14ac:dyDescent="0.3">
      <c r="A696" t="s">
        <v>1590</v>
      </c>
      <c r="B696" t="s">
        <v>884</v>
      </c>
      <c r="C696" t="s">
        <v>885</v>
      </c>
      <c r="D696" t="s">
        <v>904</v>
      </c>
      <c r="E696" t="s">
        <v>895</v>
      </c>
      <c r="F696" s="6">
        <v>43593</v>
      </c>
      <c r="G696">
        <v>120</v>
      </c>
      <c r="H696" s="6">
        <v>47246</v>
      </c>
      <c r="I696" t="s">
        <v>888</v>
      </c>
    </row>
    <row r="697" spans="1:9" x14ac:dyDescent="0.3">
      <c r="A697" t="s">
        <v>1591</v>
      </c>
      <c r="B697" t="s">
        <v>884</v>
      </c>
      <c r="C697" t="s">
        <v>885</v>
      </c>
      <c r="D697" t="s">
        <v>893</v>
      </c>
      <c r="E697" t="s">
        <v>895</v>
      </c>
      <c r="F697" s="6">
        <v>43595</v>
      </c>
      <c r="G697">
        <v>120</v>
      </c>
      <c r="H697" s="6">
        <v>47248</v>
      </c>
      <c r="I697" t="s">
        <v>888</v>
      </c>
    </row>
    <row r="698" spans="1:9" x14ac:dyDescent="0.3">
      <c r="A698" t="s">
        <v>1592</v>
      </c>
      <c r="B698" t="s">
        <v>884</v>
      </c>
      <c r="C698" t="s">
        <v>885</v>
      </c>
      <c r="D698" t="s">
        <v>893</v>
      </c>
      <c r="E698" t="s">
        <v>895</v>
      </c>
      <c r="F698" s="6">
        <v>43595</v>
      </c>
      <c r="G698">
        <v>120</v>
      </c>
      <c r="H698" s="6">
        <v>47248</v>
      </c>
      <c r="I698" t="s">
        <v>888</v>
      </c>
    </row>
    <row r="699" spans="1:9" x14ac:dyDescent="0.3">
      <c r="A699" t="s">
        <v>1593</v>
      </c>
      <c r="B699" t="s">
        <v>884</v>
      </c>
      <c r="C699" t="s">
        <v>885</v>
      </c>
      <c r="D699" t="s">
        <v>904</v>
      </c>
      <c r="E699" t="s">
        <v>895</v>
      </c>
      <c r="F699" s="6">
        <v>43598</v>
      </c>
      <c r="G699">
        <v>120</v>
      </c>
      <c r="H699" s="6">
        <v>47251</v>
      </c>
      <c r="I699" t="s">
        <v>888</v>
      </c>
    </row>
    <row r="700" spans="1:9" x14ac:dyDescent="0.3">
      <c r="A700" t="s">
        <v>1594</v>
      </c>
      <c r="B700" t="s">
        <v>884</v>
      </c>
      <c r="C700" t="s">
        <v>885</v>
      </c>
      <c r="D700" t="s">
        <v>893</v>
      </c>
      <c r="E700" t="s">
        <v>895</v>
      </c>
      <c r="F700" s="6">
        <v>43600</v>
      </c>
      <c r="G700">
        <v>120</v>
      </c>
      <c r="H700" s="6">
        <v>47253</v>
      </c>
      <c r="I700" t="s">
        <v>888</v>
      </c>
    </row>
    <row r="701" spans="1:9" x14ac:dyDescent="0.3">
      <c r="A701" t="s">
        <v>1595</v>
      </c>
      <c r="B701" t="s">
        <v>884</v>
      </c>
      <c r="C701" t="s">
        <v>885</v>
      </c>
      <c r="D701" t="s">
        <v>893</v>
      </c>
      <c r="E701" t="s">
        <v>895</v>
      </c>
      <c r="F701" s="6">
        <v>45062</v>
      </c>
      <c r="G701">
        <v>72</v>
      </c>
      <c r="H701" s="6">
        <v>47254</v>
      </c>
      <c r="I701" t="s">
        <v>888</v>
      </c>
    </row>
    <row r="702" spans="1:9" x14ac:dyDescent="0.3">
      <c r="A702" t="s">
        <v>1596</v>
      </c>
      <c r="B702" t="s">
        <v>884</v>
      </c>
      <c r="C702" t="s">
        <v>885</v>
      </c>
      <c r="D702" t="s">
        <v>893</v>
      </c>
      <c r="E702" t="s">
        <v>895</v>
      </c>
      <c r="F702" s="6">
        <v>43602</v>
      </c>
      <c r="G702">
        <v>120</v>
      </c>
      <c r="H702" s="6">
        <v>47255</v>
      </c>
      <c r="I702" t="s">
        <v>888</v>
      </c>
    </row>
    <row r="703" spans="1:9" x14ac:dyDescent="0.3">
      <c r="A703" t="s">
        <v>1597</v>
      </c>
      <c r="B703" t="s">
        <v>884</v>
      </c>
      <c r="C703" t="s">
        <v>885</v>
      </c>
      <c r="D703" t="s">
        <v>893</v>
      </c>
      <c r="E703" t="s">
        <v>895</v>
      </c>
      <c r="F703" s="6">
        <v>43607</v>
      </c>
      <c r="G703">
        <v>120</v>
      </c>
      <c r="H703" s="6">
        <v>47260</v>
      </c>
      <c r="I703" t="s">
        <v>888</v>
      </c>
    </row>
    <row r="704" spans="1:9" x14ac:dyDescent="0.3">
      <c r="A704" t="s">
        <v>1598</v>
      </c>
      <c r="B704" t="s">
        <v>884</v>
      </c>
      <c r="C704" t="s">
        <v>885</v>
      </c>
      <c r="D704" t="s">
        <v>893</v>
      </c>
      <c r="E704" t="s">
        <v>895</v>
      </c>
      <c r="F704" s="6">
        <v>43607</v>
      </c>
      <c r="G704">
        <v>120</v>
      </c>
      <c r="H704" s="6">
        <v>47260</v>
      </c>
      <c r="I704" t="s">
        <v>888</v>
      </c>
    </row>
    <row r="705" spans="1:9" x14ac:dyDescent="0.3">
      <c r="A705" t="s">
        <v>1599</v>
      </c>
      <c r="B705" t="s">
        <v>884</v>
      </c>
      <c r="C705" t="s">
        <v>885</v>
      </c>
      <c r="D705" t="s">
        <v>909</v>
      </c>
      <c r="E705" t="s">
        <v>895</v>
      </c>
      <c r="F705" s="6">
        <v>45072</v>
      </c>
      <c r="G705">
        <v>72</v>
      </c>
      <c r="H705" s="6">
        <v>47264</v>
      </c>
      <c r="I705" t="s">
        <v>888</v>
      </c>
    </row>
    <row r="706" spans="1:9" x14ac:dyDescent="0.3">
      <c r="A706" t="s">
        <v>1600</v>
      </c>
      <c r="B706" t="s">
        <v>884</v>
      </c>
      <c r="C706" t="s">
        <v>885</v>
      </c>
      <c r="D706" t="s">
        <v>893</v>
      </c>
      <c r="E706" t="s">
        <v>895</v>
      </c>
      <c r="F706" s="6">
        <v>43614</v>
      </c>
      <c r="G706">
        <v>120</v>
      </c>
      <c r="H706" s="6">
        <v>47267</v>
      </c>
      <c r="I706" t="s">
        <v>888</v>
      </c>
    </row>
    <row r="707" spans="1:9" x14ac:dyDescent="0.3">
      <c r="A707" t="s">
        <v>1601</v>
      </c>
      <c r="B707" t="s">
        <v>884</v>
      </c>
      <c r="C707" t="s">
        <v>885</v>
      </c>
      <c r="D707" t="s">
        <v>893</v>
      </c>
      <c r="E707" t="s">
        <v>895</v>
      </c>
      <c r="F707" s="6">
        <v>43616</v>
      </c>
      <c r="G707">
        <v>120</v>
      </c>
      <c r="H707" s="6">
        <v>47269</v>
      </c>
      <c r="I707" t="s">
        <v>888</v>
      </c>
    </row>
    <row r="708" spans="1:9" x14ac:dyDescent="0.3">
      <c r="A708" t="s">
        <v>1602</v>
      </c>
      <c r="B708" t="s">
        <v>884</v>
      </c>
      <c r="C708" t="s">
        <v>885</v>
      </c>
      <c r="D708" t="s">
        <v>909</v>
      </c>
      <c r="E708" t="s">
        <v>895</v>
      </c>
      <c r="F708" s="6">
        <v>45092</v>
      </c>
      <c r="G708">
        <v>72</v>
      </c>
      <c r="H708" s="6">
        <v>47284</v>
      </c>
      <c r="I708" t="s">
        <v>888</v>
      </c>
    </row>
    <row r="709" spans="1:9" x14ac:dyDescent="0.3">
      <c r="A709" t="s">
        <v>1603</v>
      </c>
      <c r="B709" t="s">
        <v>884</v>
      </c>
      <c r="C709" t="s">
        <v>885</v>
      </c>
      <c r="D709" t="s">
        <v>909</v>
      </c>
      <c r="E709" t="s">
        <v>895</v>
      </c>
      <c r="F709" s="6">
        <v>42172</v>
      </c>
      <c r="G709">
        <v>168</v>
      </c>
      <c r="H709" s="6">
        <v>47286</v>
      </c>
      <c r="I709" t="s">
        <v>888</v>
      </c>
    </row>
    <row r="710" spans="1:9" x14ac:dyDescent="0.3">
      <c r="A710" t="s">
        <v>1604</v>
      </c>
      <c r="B710" t="s">
        <v>884</v>
      </c>
      <c r="C710" t="s">
        <v>885</v>
      </c>
      <c r="D710" t="s">
        <v>886</v>
      </c>
      <c r="E710" t="s">
        <v>895</v>
      </c>
      <c r="F710" s="6">
        <v>45097</v>
      </c>
      <c r="G710">
        <v>72</v>
      </c>
      <c r="H710" s="6">
        <v>47289</v>
      </c>
      <c r="I710" t="s">
        <v>888</v>
      </c>
    </row>
    <row r="711" spans="1:9" x14ac:dyDescent="0.3">
      <c r="A711" t="s">
        <v>1605</v>
      </c>
      <c r="B711" t="s">
        <v>884</v>
      </c>
      <c r="C711" t="s">
        <v>885</v>
      </c>
      <c r="D711" t="s">
        <v>886</v>
      </c>
      <c r="E711" t="s">
        <v>895</v>
      </c>
      <c r="F711" s="6">
        <v>45100</v>
      </c>
      <c r="G711">
        <v>72</v>
      </c>
      <c r="H711" s="6">
        <v>47292</v>
      </c>
      <c r="I711" t="s">
        <v>888</v>
      </c>
    </row>
    <row r="712" spans="1:9" x14ac:dyDescent="0.3">
      <c r="A712" t="s">
        <v>1606</v>
      </c>
      <c r="B712" t="s">
        <v>884</v>
      </c>
      <c r="C712" t="s">
        <v>885</v>
      </c>
      <c r="D712" t="s">
        <v>886</v>
      </c>
      <c r="E712" t="s">
        <v>895</v>
      </c>
      <c r="F712" s="6">
        <v>45104</v>
      </c>
      <c r="G712">
        <v>72</v>
      </c>
      <c r="H712" s="6">
        <v>47296</v>
      </c>
      <c r="I712" t="s">
        <v>888</v>
      </c>
    </row>
    <row r="713" spans="1:9" x14ac:dyDescent="0.3">
      <c r="A713" t="s">
        <v>1607</v>
      </c>
      <c r="B713" t="s">
        <v>884</v>
      </c>
      <c r="C713" t="s">
        <v>885</v>
      </c>
      <c r="D713" t="s">
        <v>886</v>
      </c>
      <c r="E713" t="s">
        <v>895</v>
      </c>
      <c r="F713" s="6">
        <v>45106</v>
      </c>
      <c r="G713">
        <v>72</v>
      </c>
      <c r="H713" s="6">
        <v>47298</v>
      </c>
      <c r="I713" t="s">
        <v>888</v>
      </c>
    </row>
    <row r="714" spans="1:9" x14ac:dyDescent="0.3">
      <c r="A714" t="s">
        <v>1608</v>
      </c>
      <c r="B714" t="s">
        <v>884</v>
      </c>
      <c r="C714" t="s">
        <v>885</v>
      </c>
      <c r="D714" t="s">
        <v>893</v>
      </c>
      <c r="E714" t="s">
        <v>895</v>
      </c>
      <c r="F714" s="6">
        <v>45492</v>
      </c>
      <c r="G714">
        <v>60</v>
      </c>
      <c r="H714" s="6">
        <v>47318</v>
      </c>
      <c r="I714" t="s">
        <v>888</v>
      </c>
    </row>
    <row r="715" spans="1:9" x14ac:dyDescent="0.3">
      <c r="A715" t="s">
        <v>1609</v>
      </c>
      <c r="B715" t="s">
        <v>884</v>
      </c>
      <c r="C715" t="s">
        <v>885</v>
      </c>
      <c r="D715" t="s">
        <v>891</v>
      </c>
      <c r="E715" t="s">
        <v>895</v>
      </c>
      <c r="F715" s="6">
        <v>43679</v>
      </c>
      <c r="G715">
        <v>120</v>
      </c>
      <c r="H715" s="6">
        <v>47332</v>
      </c>
      <c r="I715" t="s">
        <v>888</v>
      </c>
    </row>
    <row r="716" spans="1:9" x14ac:dyDescent="0.3">
      <c r="A716" t="s">
        <v>1610</v>
      </c>
      <c r="B716" t="s">
        <v>884</v>
      </c>
      <c r="C716" t="s">
        <v>885</v>
      </c>
      <c r="D716" t="s">
        <v>886</v>
      </c>
      <c r="E716" t="s">
        <v>895</v>
      </c>
      <c r="F716" s="6">
        <v>45141</v>
      </c>
      <c r="G716">
        <v>72</v>
      </c>
      <c r="H716" s="6">
        <v>47333</v>
      </c>
      <c r="I716" t="s">
        <v>888</v>
      </c>
    </row>
    <row r="717" spans="1:9" x14ac:dyDescent="0.3">
      <c r="A717" t="s">
        <v>1611</v>
      </c>
      <c r="B717" t="s">
        <v>884</v>
      </c>
      <c r="C717" t="s">
        <v>885</v>
      </c>
      <c r="D717" t="s">
        <v>886</v>
      </c>
      <c r="E717" t="s">
        <v>895</v>
      </c>
      <c r="F717" s="6">
        <v>42251</v>
      </c>
      <c r="G717">
        <v>168</v>
      </c>
      <c r="H717" s="6">
        <v>47365</v>
      </c>
      <c r="I717" t="s">
        <v>888</v>
      </c>
    </row>
    <row r="718" spans="1:9" x14ac:dyDescent="0.3">
      <c r="A718" t="s">
        <v>1612</v>
      </c>
      <c r="B718" t="s">
        <v>884</v>
      </c>
      <c r="C718" t="s">
        <v>885</v>
      </c>
      <c r="D718" t="s">
        <v>886</v>
      </c>
      <c r="E718" t="s">
        <v>895</v>
      </c>
      <c r="F718" s="6">
        <v>42251</v>
      </c>
      <c r="G718">
        <v>168</v>
      </c>
      <c r="H718" s="6">
        <v>47365</v>
      </c>
      <c r="I718" t="s">
        <v>888</v>
      </c>
    </row>
    <row r="719" spans="1:9" x14ac:dyDescent="0.3">
      <c r="A719" t="s">
        <v>1613</v>
      </c>
      <c r="B719" t="s">
        <v>884</v>
      </c>
      <c r="C719" t="s">
        <v>885</v>
      </c>
      <c r="D719" t="s">
        <v>937</v>
      </c>
      <c r="E719" t="s">
        <v>895</v>
      </c>
      <c r="F719" s="6">
        <v>42252</v>
      </c>
      <c r="G719">
        <v>168</v>
      </c>
      <c r="H719" s="6">
        <v>47366</v>
      </c>
      <c r="I719" t="s">
        <v>888</v>
      </c>
    </row>
    <row r="720" spans="1:9" x14ac:dyDescent="0.3">
      <c r="A720" t="s">
        <v>1614</v>
      </c>
      <c r="B720" t="s">
        <v>884</v>
      </c>
      <c r="C720" t="s">
        <v>885</v>
      </c>
      <c r="D720" t="s">
        <v>893</v>
      </c>
      <c r="E720" t="s">
        <v>895</v>
      </c>
      <c r="F720" s="6">
        <v>42252</v>
      </c>
      <c r="G720">
        <v>168</v>
      </c>
      <c r="H720" s="6">
        <v>47366</v>
      </c>
      <c r="I720" t="s">
        <v>888</v>
      </c>
    </row>
    <row r="721" spans="1:9" x14ac:dyDescent="0.3">
      <c r="A721" t="s">
        <v>1615</v>
      </c>
      <c r="B721" t="s">
        <v>884</v>
      </c>
      <c r="C721" t="s">
        <v>885</v>
      </c>
      <c r="D721" t="s">
        <v>886</v>
      </c>
      <c r="E721" t="s">
        <v>895</v>
      </c>
      <c r="F721" s="6">
        <v>45210</v>
      </c>
      <c r="G721">
        <v>72</v>
      </c>
      <c r="H721" s="6">
        <v>47402</v>
      </c>
      <c r="I721" t="s">
        <v>888</v>
      </c>
    </row>
    <row r="722" spans="1:9" x14ac:dyDescent="0.3">
      <c r="A722" t="s">
        <v>1616</v>
      </c>
      <c r="B722" t="s">
        <v>884</v>
      </c>
      <c r="C722" t="s">
        <v>885</v>
      </c>
      <c r="D722" t="s">
        <v>886</v>
      </c>
      <c r="E722" t="s">
        <v>895</v>
      </c>
      <c r="F722" s="6">
        <v>45212</v>
      </c>
      <c r="G722">
        <v>72</v>
      </c>
      <c r="H722" s="6">
        <v>47404</v>
      </c>
      <c r="I722" t="s">
        <v>888</v>
      </c>
    </row>
    <row r="723" spans="1:9" x14ac:dyDescent="0.3">
      <c r="A723" t="s">
        <v>1617</v>
      </c>
      <c r="B723" t="s">
        <v>884</v>
      </c>
      <c r="C723" t="s">
        <v>885</v>
      </c>
      <c r="D723" t="s">
        <v>886</v>
      </c>
      <c r="E723" t="s">
        <v>895</v>
      </c>
      <c r="F723" s="6">
        <v>45212</v>
      </c>
      <c r="G723">
        <v>72</v>
      </c>
      <c r="H723" s="6">
        <v>47404</v>
      </c>
      <c r="I723" t="s">
        <v>888</v>
      </c>
    </row>
    <row r="724" spans="1:9" x14ac:dyDescent="0.3">
      <c r="A724" t="s">
        <v>1618</v>
      </c>
      <c r="B724" t="s">
        <v>884</v>
      </c>
      <c r="C724" t="s">
        <v>885</v>
      </c>
      <c r="D724" t="s">
        <v>904</v>
      </c>
      <c r="E724" t="s">
        <v>895</v>
      </c>
      <c r="F724" s="6">
        <v>43756</v>
      </c>
      <c r="G724">
        <v>120</v>
      </c>
      <c r="H724" s="6">
        <v>47409</v>
      </c>
      <c r="I724" t="s">
        <v>888</v>
      </c>
    </row>
    <row r="725" spans="1:9" x14ac:dyDescent="0.3">
      <c r="A725" t="s">
        <v>1619</v>
      </c>
      <c r="B725" t="s">
        <v>884</v>
      </c>
      <c r="C725" t="s">
        <v>885</v>
      </c>
      <c r="D725" t="s">
        <v>904</v>
      </c>
      <c r="E725" t="s">
        <v>895</v>
      </c>
      <c r="F725" s="6">
        <v>43756</v>
      </c>
      <c r="G725">
        <v>120</v>
      </c>
      <c r="H725" s="6">
        <v>47409</v>
      </c>
      <c r="I725" t="s">
        <v>888</v>
      </c>
    </row>
    <row r="726" spans="1:9" x14ac:dyDescent="0.3">
      <c r="A726" t="s">
        <v>1620</v>
      </c>
      <c r="B726" t="s">
        <v>884</v>
      </c>
      <c r="C726" t="s">
        <v>885</v>
      </c>
      <c r="D726" t="s">
        <v>904</v>
      </c>
      <c r="E726" t="s">
        <v>895</v>
      </c>
      <c r="F726" s="6">
        <v>45219</v>
      </c>
      <c r="G726">
        <v>72</v>
      </c>
      <c r="H726" s="6">
        <v>47411</v>
      </c>
      <c r="I726" t="s">
        <v>888</v>
      </c>
    </row>
    <row r="727" spans="1:9" x14ac:dyDescent="0.3">
      <c r="A727" t="s">
        <v>1621</v>
      </c>
      <c r="B727" t="s">
        <v>884</v>
      </c>
      <c r="C727" t="s">
        <v>885</v>
      </c>
      <c r="D727" t="s">
        <v>909</v>
      </c>
      <c r="E727" t="s">
        <v>895</v>
      </c>
      <c r="F727" s="6">
        <v>45230</v>
      </c>
      <c r="G727">
        <v>72</v>
      </c>
      <c r="H727" s="6">
        <v>47422</v>
      </c>
      <c r="I727" t="s">
        <v>888</v>
      </c>
    </row>
    <row r="728" spans="1:9" x14ac:dyDescent="0.3">
      <c r="A728" t="s">
        <v>1622</v>
      </c>
      <c r="B728" t="s">
        <v>884</v>
      </c>
      <c r="C728" t="s">
        <v>885</v>
      </c>
      <c r="D728" t="s">
        <v>886</v>
      </c>
      <c r="E728" t="s">
        <v>895</v>
      </c>
      <c r="F728" s="6">
        <v>45240</v>
      </c>
      <c r="G728">
        <v>72</v>
      </c>
      <c r="H728" s="6">
        <v>47432</v>
      </c>
      <c r="I728" t="s">
        <v>888</v>
      </c>
    </row>
    <row r="729" spans="1:9" x14ac:dyDescent="0.3">
      <c r="A729" t="s">
        <v>1623</v>
      </c>
      <c r="B729" t="s">
        <v>884</v>
      </c>
      <c r="C729" t="s">
        <v>885</v>
      </c>
      <c r="D729" t="s">
        <v>886</v>
      </c>
      <c r="E729" t="s">
        <v>895</v>
      </c>
      <c r="F729" s="6">
        <v>45240</v>
      </c>
      <c r="G729">
        <v>72</v>
      </c>
      <c r="H729" s="6">
        <v>47432</v>
      </c>
      <c r="I729" t="s">
        <v>888</v>
      </c>
    </row>
    <row r="730" spans="1:9" x14ac:dyDescent="0.3">
      <c r="A730" t="s">
        <v>1624</v>
      </c>
      <c r="B730" t="s">
        <v>884</v>
      </c>
      <c r="C730" t="s">
        <v>885</v>
      </c>
      <c r="D730" t="s">
        <v>886</v>
      </c>
      <c r="E730" t="s">
        <v>895</v>
      </c>
      <c r="F730" s="6">
        <v>45240</v>
      </c>
      <c r="G730">
        <v>72</v>
      </c>
      <c r="H730" s="6">
        <v>47432</v>
      </c>
      <c r="I730" t="s">
        <v>888</v>
      </c>
    </row>
    <row r="731" spans="1:9" x14ac:dyDescent="0.3">
      <c r="A731" t="s">
        <v>1625</v>
      </c>
      <c r="B731" t="s">
        <v>884</v>
      </c>
      <c r="C731" t="s">
        <v>885</v>
      </c>
      <c r="D731" t="s">
        <v>909</v>
      </c>
      <c r="E731" t="s">
        <v>895</v>
      </c>
      <c r="F731" s="6">
        <v>43781</v>
      </c>
      <c r="G731">
        <v>120</v>
      </c>
      <c r="H731" s="6">
        <v>47434</v>
      </c>
      <c r="I731" t="s">
        <v>888</v>
      </c>
    </row>
    <row r="732" spans="1:9" x14ac:dyDescent="0.3">
      <c r="A732" t="s">
        <v>1626</v>
      </c>
      <c r="B732" t="s">
        <v>884</v>
      </c>
      <c r="C732" t="s">
        <v>885</v>
      </c>
      <c r="D732" t="s">
        <v>909</v>
      </c>
      <c r="E732" t="s">
        <v>895</v>
      </c>
      <c r="F732" s="6">
        <v>43782</v>
      </c>
      <c r="G732">
        <v>120</v>
      </c>
      <c r="H732" s="6">
        <v>47435</v>
      </c>
      <c r="I732" t="s">
        <v>888</v>
      </c>
    </row>
    <row r="733" spans="1:9" x14ac:dyDescent="0.3">
      <c r="A733" t="s">
        <v>1627</v>
      </c>
      <c r="B733" t="s">
        <v>884</v>
      </c>
      <c r="C733" t="s">
        <v>885</v>
      </c>
      <c r="D733" t="s">
        <v>904</v>
      </c>
      <c r="E733" t="s">
        <v>895</v>
      </c>
      <c r="F733" s="6">
        <v>43783</v>
      </c>
      <c r="G733">
        <v>120</v>
      </c>
      <c r="H733" s="6">
        <v>47436</v>
      </c>
      <c r="I733" t="s">
        <v>888</v>
      </c>
    </row>
    <row r="734" spans="1:9" x14ac:dyDescent="0.3">
      <c r="A734" t="s">
        <v>1628</v>
      </c>
      <c r="B734" t="s">
        <v>884</v>
      </c>
      <c r="C734" t="s">
        <v>885</v>
      </c>
      <c r="D734" t="s">
        <v>904</v>
      </c>
      <c r="E734" t="s">
        <v>895</v>
      </c>
      <c r="F734" s="6">
        <v>43783</v>
      </c>
      <c r="G734">
        <v>120</v>
      </c>
      <c r="H734" s="6">
        <v>47436</v>
      </c>
      <c r="I734" t="s">
        <v>888</v>
      </c>
    </row>
    <row r="735" spans="1:9" x14ac:dyDescent="0.3">
      <c r="A735" t="s">
        <v>1629</v>
      </c>
      <c r="B735" t="s">
        <v>884</v>
      </c>
      <c r="C735" t="s">
        <v>885</v>
      </c>
      <c r="D735" t="s">
        <v>937</v>
      </c>
      <c r="E735" t="s">
        <v>895</v>
      </c>
      <c r="F735" s="6">
        <v>44155</v>
      </c>
      <c r="G735">
        <v>108</v>
      </c>
      <c r="H735" s="6">
        <v>47442</v>
      </c>
      <c r="I735" t="s">
        <v>888</v>
      </c>
    </row>
    <row r="736" spans="1:9" x14ac:dyDescent="0.3">
      <c r="A736" t="s">
        <v>1630</v>
      </c>
      <c r="B736" t="s">
        <v>884</v>
      </c>
      <c r="C736" t="s">
        <v>885</v>
      </c>
      <c r="D736" t="s">
        <v>904</v>
      </c>
      <c r="E736" t="s">
        <v>895</v>
      </c>
      <c r="F736" s="6">
        <v>44155</v>
      </c>
      <c r="G736">
        <v>108</v>
      </c>
      <c r="H736" s="6">
        <v>47442</v>
      </c>
      <c r="I736" t="s">
        <v>888</v>
      </c>
    </row>
    <row r="737" spans="1:9" x14ac:dyDescent="0.3">
      <c r="A737" t="s">
        <v>1631</v>
      </c>
      <c r="B737" t="s">
        <v>884</v>
      </c>
      <c r="C737" t="s">
        <v>885</v>
      </c>
      <c r="D737" t="s">
        <v>893</v>
      </c>
      <c r="E737" t="s">
        <v>895</v>
      </c>
      <c r="F737" s="6">
        <v>44155</v>
      </c>
      <c r="G737">
        <v>108</v>
      </c>
      <c r="H737" s="6">
        <v>47442</v>
      </c>
      <c r="I737" t="s">
        <v>888</v>
      </c>
    </row>
    <row r="738" spans="1:9" x14ac:dyDescent="0.3">
      <c r="A738" t="s">
        <v>1632</v>
      </c>
      <c r="B738" t="s">
        <v>884</v>
      </c>
      <c r="C738" t="s">
        <v>885</v>
      </c>
      <c r="D738" t="s">
        <v>937</v>
      </c>
      <c r="E738" t="s">
        <v>895</v>
      </c>
      <c r="F738" s="6">
        <v>42383</v>
      </c>
      <c r="G738">
        <v>168</v>
      </c>
      <c r="H738" s="6">
        <v>47497</v>
      </c>
      <c r="I738" t="s">
        <v>888</v>
      </c>
    </row>
    <row r="739" spans="1:9" x14ac:dyDescent="0.3">
      <c r="A739" t="s">
        <v>1633</v>
      </c>
      <c r="B739" t="s">
        <v>884</v>
      </c>
      <c r="C739" t="s">
        <v>885</v>
      </c>
      <c r="D739" t="s">
        <v>909</v>
      </c>
      <c r="E739" t="s">
        <v>895</v>
      </c>
      <c r="F739" s="6">
        <v>43859</v>
      </c>
      <c r="G739">
        <v>120</v>
      </c>
      <c r="H739" s="6">
        <v>47512</v>
      </c>
      <c r="I739" t="s">
        <v>888</v>
      </c>
    </row>
    <row r="740" spans="1:9" x14ac:dyDescent="0.3">
      <c r="A740" t="s">
        <v>1634</v>
      </c>
      <c r="B740" t="s">
        <v>884</v>
      </c>
      <c r="C740" t="s">
        <v>885</v>
      </c>
      <c r="D740" t="s">
        <v>937</v>
      </c>
      <c r="E740" t="s">
        <v>895</v>
      </c>
      <c r="F740" s="6">
        <v>45321</v>
      </c>
      <c r="G740">
        <v>72</v>
      </c>
      <c r="H740" s="6">
        <v>47513</v>
      </c>
      <c r="I740" t="s">
        <v>888</v>
      </c>
    </row>
    <row r="741" spans="1:9" x14ac:dyDescent="0.3">
      <c r="A741" t="s">
        <v>1635</v>
      </c>
      <c r="B741" t="s">
        <v>884</v>
      </c>
      <c r="C741" t="s">
        <v>885</v>
      </c>
      <c r="D741" t="s">
        <v>886</v>
      </c>
      <c r="E741" t="s">
        <v>895</v>
      </c>
      <c r="F741" s="6">
        <v>43158</v>
      </c>
      <c r="G741">
        <v>144</v>
      </c>
      <c r="H741" s="6">
        <v>47541</v>
      </c>
      <c r="I741" t="s">
        <v>888</v>
      </c>
    </row>
    <row r="742" spans="1:9" x14ac:dyDescent="0.3">
      <c r="A742" t="s">
        <v>1636</v>
      </c>
      <c r="B742" t="s">
        <v>884</v>
      </c>
      <c r="C742" t="s">
        <v>885</v>
      </c>
      <c r="D742" t="s">
        <v>909</v>
      </c>
      <c r="E742" t="s">
        <v>895</v>
      </c>
      <c r="F742" s="6">
        <v>45715</v>
      </c>
      <c r="G742">
        <v>60</v>
      </c>
      <c r="H742" s="6">
        <v>47541</v>
      </c>
      <c r="I742" t="s">
        <v>888</v>
      </c>
    </row>
    <row r="743" spans="1:9" x14ac:dyDescent="0.3">
      <c r="A743" t="s">
        <v>1637</v>
      </c>
      <c r="B743" t="s">
        <v>884</v>
      </c>
      <c r="C743" t="s">
        <v>885</v>
      </c>
      <c r="D743" t="s">
        <v>929</v>
      </c>
      <c r="E743" t="s">
        <v>895</v>
      </c>
      <c r="F743" s="6">
        <v>43889</v>
      </c>
      <c r="G743">
        <v>120</v>
      </c>
      <c r="H743" s="6">
        <v>47542</v>
      </c>
      <c r="I743" t="s">
        <v>888</v>
      </c>
    </row>
    <row r="744" spans="1:9" x14ac:dyDescent="0.3">
      <c r="A744" t="s">
        <v>1638</v>
      </c>
      <c r="B744" t="s">
        <v>884</v>
      </c>
      <c r="C744" t="s">
        <v>885</v>
      </c>
      <c r="D744" t="s">
        <v>886</v>
      </c>
      <c r="E744" t="s">
        <v>895</v>
      </c>
      <c r="F744" s="6">
        <v>44155</v>
      </c>
      <c r="G744">
        <v>112</v>
      </c>
      <c r="H744" s="6">
        <v>47562</v>
      </c>
      <c r="I744" t="s">
        <v>888</v>
      </c>
    </row>
    <row r="745" spans="1:9" x14ac:dyDescent="0.3">
      <c r="A745" t="s">
        <v>1639</v>
      </c>
      <c r="B745" t="s">
        <v>884</v>
      </c>
      <c r="C745" t="s">
        <v>885</v>
      </c>
      <c r="D745" t="s">
        <v>891</v>
      </c>
      <c r="E745" t="s">
        <v>895</v>
      </c>
      <c r="F745" s="6">
        <v>45005</v>
      </c>
      <c r="G745">
        <v>84</v>
      </c>
      <c r="H745" s="6">
        <v>47562</v>
      </c>
      <c r="I745" t="s">
        <v>888</v>
      </c>
    </row>
    <row r="746" spans="1:9" x14ac:dyDescent="0.3">
      <c r="A746" t="s">
        <v>1640</v>
      </c>
      <c r="B746" t="s">
        <v>884</v>
      </c>
      <c r="C746" t="s">
        <v>885</v>
      </c>
      <c r="D746" t="s">
        <v>886</v>
      </c>
      <c r="E746" t="s">
        <v>895</v>
      </c>
      <c r="F746" s="6">
        <v>45424</v>
      </c>
      <c r="G746">
        <v>72</v>
      </c>
      <c r="H746" s="6">
        <v>47615</v>
      </c>
      <c r="I746" t="s">
        <v>888</v>
      </c>
    </row>
    <row r="747" spans="1:9" x14ac:dyDescent="0.3">
      <c r="A747" t="s">
        <v>1641</v>
      </c>
      <c r="B747" t="s">
        <v>884</v>
      </c>
      <c r="C747" t="s">
        <v>885</v>
      </c>
      <c r="D747" t="s">
        <v>886</v>
      </c>
      <c r="E747" t="s">
        <v>895</v>
      </c>
      <c r="F747" s="6">
        <v>45424</v>
      </c>
      <c r="G747">
        <v>72</v>
      </c>
      <c r="H747" s="6">
        <v>47615</v>
      </c>
      <c r="I747" t="s">
        <v>888</v>
      </c>
    </row>
    <row r="748" spans="1:9" x14ac:dyDescent="0.3">
      <c r="A748" t="s">
        <v>1642</v>
      </c>
      <c r="B748" t="s">
        <v>884</v>
      </c>
      <c r="C748" t="s">
        <v>885</v>
      </c>
      <c r="D748" t="s">
        <v>886</v>
      </c>
      <c r="E748" t="s">
        <v>895</v>
      </c>
      <c r="F748" s="6">
        <v>45424</v>
      </c>
      <c r="G748">
        <v>72</v>
      </c>
      <c r="H748" s="6">
        <v>47615</v>
      </c>
      <c r="I748" t="s">
        <v>888</v>
      </c>
    </row>
    <row r="749" spans="1:9" x14ac:dyDescent="0.3">
      <c r="A749" t="s">
        <v>1643</v>
      </c>
      <c r="B749" t="s">
        <v>884</v>
      </c>
      <c r="C749" t="s">
        <v>885</v>
      </c>
      <c r="D749" t="s">
        <v>886</v>
      </c>
      <c r="E749" t="s">
        <v>895</v>
      </c>
      <c r="F749" s="6">
        <v>45424</v>
      </c>
      <c r="G749">
        <v>72</v>
      </c>
      <c r="H749" s="6">
        <v>47615</v>
      </c>
      <c r="I749" t="s">
        <v>888</v>
      </c>
    </row>
    <row r="750" spans="1:9" x14ac:dyDescent="0.3">
      <c r="A750" t="s">
        <v>1644</v>
      </c>
      <c r="B750" t="s">
        <v>884</v>
      </c>
      <c r="C750" t="s">
        <v>885</v>
      </c>
      <c r="D750" t="s">
        <v>886</v>
      </c>
      <c r="E750" t="s">
        <v>895</v>
      </c>
      <c r="F750" s="6">
        <v>45424</v>
      </c>
      <c r="G750">
        <v>72</v>
      </c>
      <c r="H750" s="6">
        <v>47615</v>
      </c>
      <c r="I750" t="s">
        <v>888</v>
      </c>
    </row>
    <row r="751" spans="1:9" x14ac:dyDescent="0.3">
      <c r="A751" t="s">
        <v>1645</v>
      </c>
      <c r="B751" t="s">
        <v>884</v>
      </c>
      <c r="C751" t="s">
        <v>885</v>
      </c>
      <c r="D751" t="s">
        <v>886</v>
      </c>
      <c r="E751" t="s">
        <v>895</v>
      </c>
      <c r="F751" s="6">
        <v>45424</v>
      </c>
      <c r="G751">
        <v>72</v>
      </c>
      <c r="H751" s="6">
        <v>47615</v>
      </c>
      <c r="I751" t="s">
        <v>888</v>
      </c>
    </row>
    <row r="752" spans="1:9" x14ac:dyDescent="0.3">
      <c r="A752" t="s">
        <v>1646</v>
      </c>
      <c r="B752" t="s">
        <v>884</v>
      </c>
      <c r="C752" t="s">
        <v>885</v>
      </c>
      <c r="D752" t="s">
        <v>886</v>
      </c>
      <c r="E752" t="s">
        <v>895</v>
      </c>
      <c r="F752" s="6">
        <v>45424</v>
      </c>
      <c r="G752">
        <v>72</v>
      </c>
      <c r="H752" s="6">
        <v>47615</v>
      </c>
      <c r="I752" t="s">
        <v>888</v>
      </c>
    </row>
    <row r="753" spans="1:9" x14ac:dyDescent="0.3">
      <c r="A753" t="s">
        <v>1647</v>
      </c>
      <c r="B753" t="s">
        <v>884</v>
      </c>
      <c r="C753" t="s">
        <v>885</v>
      </c>
      <c r="D753" t="s">
        <v>909</v>
      </c>
      <c r="E753" t="s">
        <v>895</v>
      </c>
      <c r="F753" s="6">
        <v>45425</v>
      </c>
      <c r="G753">
        <v>72</v>
      </c>
      <c r="H753" s="6">
        <v>47616</v>
      </c>
      <c r="I753" t="s">
        <v>888</v>
      </c>
    </row>
    <row r="754" spans="1:9" x14ac:dyDescent="0.3">
      <c r="A754" t="s">
        <v>1648</v>
      </c>
      <c r="B754" t="s">
        <v>884</v>
      </c>
      <c r="C754" t="s">
        <v>885</v>
      </c>
      <c r="D754" t="s">
        <v>904</v>
      </c>
      <c r="E754" t="s">
        <v>895</v>
      </c>
      <c r="F754" s="6">
        <v>45430</v>
      </c>
      <c r="G754">
        <v>72</v>
      </c>
      <c r="H754" s="6">
        <v>47619</v>
      </c>
      <c r="I754" t="s">
        <v>888</v>
      </c>
    </row>
    <row r="755" spans="1:9" x14ac:dyDescent="0.3">
      <c r="A755" t="s">
        <v>1649</v>
      </c>
      <c r="B755" t="s">
        <v>884</v>
      </c>
      <c r="C755" t="s">
        <v>885</v>
      </c>
      <c r="D755" t="s">
        <v>893</v>
      </c>
      <c r="E755" t="s">
        <v>895</v>
      </c>
      <c r="F755" s="6">
        <v>45436</v>
      </c>
      <c r="G755">
        <v>72</v>
      </c>
      <c r="H755" s="6">
        <v>47627</v>
      </c>
      <c r="I755" t="s">
        <v>888</v>
      </c>
    </row>
    <row r="756" spans="1:9" x14ac:dyDescent="0.3">
      <c r="A756" t="s">
        <v>1650</v>
      </c>
      <c r="B756" t="s">
        <v>884</v>
      </c>
      <c r="C756" t="s">
        <v>885</v>
      </c>
      <c r="D756" t="s">
        <v>893</v>
      </c>
      <c r="E756" t="s">
        <v>895</v>
      </c>
      <c r="F756" s="6">
        <v>45436</v>
      </c>
      <c r="G756">
        <v>72</v>
      </c>
      <c r="H756" s="6">
        <v>47627</v>
      </c>
      <c r="I756" t="s">
        <v>888</v>
      </c>
    </row>
    <row r="757" spans="1:9" x14ac:dyDescent="0.3">
      <c r="A757" t="s">
        <v>1651</v>
      </c>
      <c r="B757" t="s">
        <v>884</v>
      </c>
      <c r="C757" t="s">
        <v>885</v>
      </c>
      <c r="D757" t="s">
        <v>893</v>
      </c>
      <c r="E757" t="s">
        <v>895</v>
      </c>
      <c r="F757" s="6">
        <v>45436</v>
      </c>
      <c r="G757">
        <v>72</v>
      </c>
      <c r="H757" s="6">
        <v>47627</v>
      </c>
      <c r="I757" t="s">
        <v>888</v>
      </c>
    </row>
    <row r="758" spans="1:9" x14ac:dyDescent="0.3">
      <c r="A758" t="s">
        <v>1652</v>
      </c>
      <c r="B758" t="s">
        <v>884</v>
      </c>
      <c r="C758" t="s">
        <v>885</v>
      </c>
      <c r="D758" t="s">
        <v>893</v>
      </c>
      <c r="E758" t="s">
        <v>895</v>
      </c>
      <c r="F758" s="6">
        <v>45436</v>
      </c>
      <c r="G758">
        <v>72</v>
      </c>
      <c r="H758" s="6">
        <v>47627</v>
      </c>
      <c r="I758" t="s">
        <v>888</v>
      </c>
    </row>
    <row r="759" spans="1:9" x14ac:dyDescent="0.3">
      <c r="A759" t="s">
        <v>1653</v>
      </c>
      <c r="B759" t="s">
        <v>884</v>
      </c>
      <c r="C759" t="s">
        <v>885</v>
      </c>
      <c r="D759" t="s">
        <v>893</v>
      </c>
      <c r="E759" t="s">
        <v>895</v>
      </c>
      <c r="F759" s="6">
        <v>45436</v>
      </c>
      <c r="G759">
        <v>72</v>
      </c>
      <c r="H759" s="6">
        <v>47627</v>
      </c>
      <c r="I759" t="s">
        <v>888</v>
      </c>
    </row>
    <row r="760" spans="1:9" x14ac:dyDescent="0.3">
      <c r="A760" t="s">
        <v>1654</v>
      </c>
      <c r="B760" t="s">
        <v>884</v>
      </c>
      <c r="C760" t="s">
        <v>885</v>
      </c>
      <c r="D760" t="s">
        <v>886</v>
      </c>
      <c r="E760" t="s">
        <v>895</v>
      </c>
      <c r="F760" s="6">
        <v>43986</v>
      </c>
      <c r="G760">
        <v>120</v>
      </c>
      <c r="H760" s="6">
        <v>47638</v>
      </c>
      <c r="I760" t="s">
        <v>888</v>
      </c>
    </row>
    <row r="761" spans="1:9" x14ac:dyDescent="0.3">
      <c r="A761" t="s">
        <v>1655</v>
      </c>
      <c r="B761" t="s">
        <v>884</v>
      </c>
      <c r="C761" t="s">
        <v>885</v>
      </c>
      <c r="D761" t="s">
        <v>886</v>
      </c>
      <c r="E761" t="s">
        <v>895</v>
      </c>
      <c r="F761" s="6">
        <v>43988</v>
      </c>
      <c r="G761">
        <v>120</v>
      </c>
      <c r="H761" s="6">
        <v>47640</v>
      </c>
      <c r="I761" t="s">
        <v>888</v>
      </c>
    </row>
    <row r="762" spans="1:9" x14ac:dyDescent="0.3">
      <c r="A762" t="s">
        <v>1656</v>
      </c>
      <c r="B762" t="s">
        <v>884</v>
      </c>
      <c r="C762" t="s">
        <v>885</v>
      </c>
      <c r="D762" t="s">
        <v>886</v>
      </c>
      <c r="E762" t="s">
        <v>895</v>
      </c>
      <c r="F762" s="6">
        <v>43992</v>
      </c>
      <c r="G762">
        <v>120</v>
      </c>
      <c r="H762" s="6">
        <v>47644</v>
      </c>
      <c r="I762" t="s">
        <v>888</v>
      </c>
    </row>
    <row r="763" spans="1:9" x14ac:dyDescent="0.3">
      <c r="A763" t="s">
        <v>1657</v>
      </c>
      <c r="B763" t="s">
        <v>884</v>
      </c>
      <c r="C763" t="s">
        <v>885</v>
      </c>
      <c r="D763" t="s">
        <v>909</v>
      </c>
      <c r="E763" t="s">
        <v>895</v>
      </c>
      <c r="F763" s="6">
        <v>43999</v>
      </c>
      <c r="G763">
        <v>120</v>
      </c>
      <c r="H763" s="6">
        <v>47651</v>
      </c>
      <c r="I763" t="s">
        <v>888</v>
      </c>
    </row>
    <row r="764" spans="1:9" x14ac:dyDescent="0.3">
      <c r="A764" t="s">
        <v>1658</v>
      </c>
      <c r="B764" t="s">
        <v>884</v>
      </c>
      <c r="C764" t="s">
        <v>885</v>
      </c>
      <c r="D764" t="s">
        <v>886</v>
      </c>
      <c r="E764" t="s">
        <v>895</v>
      </c>
      <c r="F764" s="6">
        <v>43999</v>
      </c>
      <c r="G764">
        <v>120</v>
      </c>
      <c r="H764" s="6">
        <v>47651</v>
      </c>
      <c r="I764" t="s">
        <v>888</v>
      </c>
    </row>
    <row r="765" spans="1:9" x14ac:dyDescent="0.3">
      <c r="A765" t="s">
        <v>1659</v>
      </c>
      <c r="B765" t="s">
        <v>884</v>
      </c>
      <c r="C765" t="s">
        <v>885</v>
      </c>
      <c r="D765" t="s">
        <v>909</v>
      </c>
      <c r="E765" t="s">
        <v>895</v>
      </c>
      <c r="F765" s="6">
        <v>44000</v>
      </c>
      <c r="G765">
        <v>120</v>
      </c>
      <c r="H765" s="6">
        <v>47652</v>
      </c>
      <c r="I765" t="s">
        <v>888</v>
      </c>
    </row>
    <row r="766" spans="1:9" x14ac:dyDescent="0.3">
      <c r="A766" t="s">
        <v>1660</v>
      </c>
      <c r="B766" t="s">
        <v>884</v>
      </c>
      <c r="C766" t="s">
        <v>885</v>
      </c>
      <c r="D766" t="s">
        <v>886</v>
      </c>
      <c r="E766" t="s">
        <v>895</v>
      </c>
      <c r="F766" s="6">
        <v>45834</v>
      </c>
      <c r="G766">
        <v>60</v>
      </c>
      <c r="H766" s="6">
        <v>47660</v>
      </c>
      <c r="I766" t="s">
        <v>888</v>
      </c>
    </row>
    <row r="767" spans="1:9" x14ac:dyDescent="0.3">
      <c r="A767" t="s">
        <v>1661</v>
      </c>
      <c r="B767" t="s">
        <v>884</v>
      </c>
      <c r="C767" t="s">
        <v>885</v>
      </c>
      <c r="D767" t="s">
        <v>886</v>
      </c>
      <c r="E767" t="s">
        <v>895</v>
      </c>
      <c r="F767" s="6">
        <v>45834</v>
      </c>
      <c r="G767">
        <v>60</v>
      </c>
      <c r="H767" s="6">
        <v>47660</v>
      </c>
      <c r="I767" t="s">
        <v>888</v>
      </c>
    </row>
    <row r="768" spans="1:9" x14ac:dyDescent="0.3">
      <c r="A768" t="s">
        <v>1662</v>
      </c>
      <c r="B768" t="s">
        <v>884</v>
      </c>
      <c r="C768" t="s">
        <v>885</v>
      </c>
      <c r="D768" t="s">
        <v>909</v>
      </c>
      <c r="E768" t="s">
        <v>895</v>
      </c>
      <c r="F768" s="6">
        <v>45653</v>
      </c>
      <c r="G768">
        <v>66</v>
      </c>
      <c r="H768" s="6">
        <v>47661</v>
      </c>
      <c r="I768" t="s">
        <v>888</v>
      </c>
    </row>
    <row r="769" spans="1:9" x14ac:dyDescent="0.3">
      <c r="A769" t="s">
        <v>1663</v>
      </c>
      <c r="B769" t="s">
        <v>884</v>
      </c>
      <c r="C769" t="s">
        <v>885</v>
      </c>
      <c r="D769" t="s">
        <v>904</v>
      </c>
      <c r="E769" t="s">
        <v>895</v>
      </c>
      <c r="F769" s="6">
        <v>42551</v>
      </c>
      <c r="G769">
        <v>168</v>
      </c>
      <c r="H769" s="6">
        <v>47664</v>
      </c>
      <c r="I769" t="s">
        <v>888</v>
      </c>
    </row>
    <row r="770" spans="1:9" x14ac:dyDescent="0.3">
      <c r="A770" t="s">
        <v>1664</v>
      </c>
      <c r="B770" t="s">
        <v>884</v>
      </c>
      <c r="C770" t="s">
        <v>885</v>
      </c>
      <c r="D770" t="s">
        <v>937</v>
      </c>
      <c r="E770" t="s">
        <v>895</v>
      </c>
      <c r="F770" s="6">
        <v>42556</v>
      </c>
      <c r="G770">
        <v>168</v>
      </c>
      <c r="H770" s="6">
        <v>47669</v>
      </c>
      <c r="I770" t="s">
        <v>888</v>
      </c>
    </row>
    <row r="771" spans="1:9" x14ac:dyDescent="0.3">
      <c r="A771" t="s">
        <v>1665</v>
      </c>
      <c r="B771" t="s">
        <v>884</v>
      </c>
      <c r="C771" t="s">
        <v>885</v>
      </c>
      <c r="D771" t="s">
        <v>893</v>
      </c>
      <c r="E771" t="s">
        <v>895</v>
      </c>
      <c r="F771" s="6">
        <v>44021</v>
      </c>
      <c r="G771">
        <v>120</v>
      </c>
      <c r="H771" s="6">
        <v>47673</v>
      </c>
      <c r="I771" t="s">
        <v>888</v>
      </c>
    </row>
    <row r="772" spans="1:9" x14ac:dyDescent="0.3">
      <c r="A772" t="s">
        <v>1666</v>
      </c>
      <c r="B772" t="s">
        <v>884</v>
      </c>
      <c r="C772" t="s">
        <v>885</v>
      </c>
      <c r="D772" t="s">
        <v>886</v>
      </c>
      <c r="E772" t="s">
        <v>895</v>
      </c>
      <c r="F772" s="6">
        <v>45673</v>
      </c>
      <c r="G772">
        <v>66</v>
      </c>
      <c r="H772" s="6">
        <v>47680</v>
      </c>
      <c r="I772" t="s">
        <v>888</v>
      </c>
    </row>
    <row r="773" spans="1:9" x14ac:dyDescent="0.3">
      <c r="A773" t="s">
        <v>1667</v>
      </c>
      <c r="B773" t="s">
        <v>884</v>
      </c>
      <c r="C773" t="s">
        <v>885</v>
      </c>
      <c r="D773" t="s">
        <v>886</v>
      </c>
      <c r="E773" t="s">
        <v>895</v>
      </c>
      <c r="F773" s="6">
        <v>45520</v>
      </c>
      <c r="G773">
        <v>72</v>
      </c>
      <c r="H773" s="6">
        <v>47711</v>
      </c>
      <c r="I773" t="s">
        <v>888</v>
      </c>
    </row>
    <row r="774" spans="1:9" x14ac:dyDescent="0.3">
      <c r="A774" t="s">
        <v>1668</v>
      </c>
      <c r="B774" t="s">
        <v>884</v>
      </c>
      <c r="C774" t="s">
        <v>885</v>
      </c>
      <c r="D774" t="s">
        <v>893</v>
      </c>
      <c r="E774" t="s">
        <v>895</v>
      </c>
      <c r="F774" s="6">
        <v>45520</v>
      </c>
      <c r="G774">
        <v>72</v>
      </c>
      <c r="H774" s="6">
        <v>47711</v>
      </c>
      <c r="I774" t="s">
        <v>888</v>
      </c>
    </row>
    <row r="775" spans="1:9" x14ac:dyDescent="0.3">
      <c r="A775" t="s">
        <v>1669</v>
      </c>
      <c r="B775" t="s">
        <v>884</v>
      </c>
      <c r="C775" t="s">
        <v>885</v>
      </c>
      <c r="D775" t="s">
        <v>893</v>
      </c>
      <c r="E775" t="s">
        <v>895</v>
      </c>
      <c r="F775" s="6">
        <v>45532</v>
      </c>
      <c r="G775">
        <v>72</v>
      </c>
      <c r="H775" s="6">
        <v>47723</v>
      </c>
      <c r="I775" t="s">
        <v>888</v>
      </c>
    </row>
    <row r="776" spans="1:9" x14ac:dyDescent="0.3">
      <c r="A776" t="s">
        <v>1670</v>
      </c>
      <c r="B776" t="s">
        <v>884</v>
      </c>
      <c r="C776" t="s">
        <v>885</v>
      </c>
      <c r="D776" t="s">
        <v>886</v>
      </c>
      <c r="E776" t="s">
        <v>895</v>
      </c>
      <c r="F776" s="6">
        <v>45532</v>
      </c>
      <c r="G776">
        <v>72</v>
      </c>
      <c r="H776" s="6">
        <v>47723</v>
      </c>
      <c r="I776" t="s">
        <v>888</v>
      </c>
    </row>
    <row r="777" spans="1:9" x14ac:dyDescent="0.3">
      <c r="A777" t="s">
        <v>1671</v>
      </c>
      <c r="B777" t="s">
        <v>884</v>
      </c>
      <c r="C777" t="s">
        <v>885</v>
      </c>
      <c r="D777" t="s">
        <v>886</v>
      </c>
      <c r="E777" t="s">
        <v>895</v>
      </c>
      <c r="F777" s="6">
        <v>45547</v>
      </c>
      <c r="G777">
        <v>72</v>
      </c>
      <c r="H777" s="6">
        <v>47738</v>
      </c>
      <c r="I777" t="s">
        <v>888</v>
      </c>
    </row>
    <row r="778" spans="1:9" x14ac:dyDescent="0.3">
      <c r="A778" t="s">
        <v>1672</v>
      </c>
      <c r="B778" t="s">
        <v>884</v>
      </c>
      <c r="C778" t="s">
        <v>885</v>
      </c>
      <c r="D778" t="s">
        <v>937</v>
      </c>
      <c r="E778" t="s">
        <v>895</v>
      </c>
      <c r="F778" s="6">
        <v>45559</v>
      </c>
      <c r="G778">
        <v>72</v>
      </c>
      <c r="H778" s="6">
        <v>47744</v>
      </c>
      <c r="I778" t="s">
        <v>888</v>
      </c>
    </row>
    <row r="779" spans="1:9" x14ac:dyDescent="0.3">
      <c r="A779" t="s">
        <v>1673</v>
      </c>
      <c r="B779" t="s">
        <v>884</v>
      </c>
      <c r="C779" t="s">
        <v>885</v>
      </c>
      <c r="D779" t="s">
        <v>886</v>
      </c>
      <c r="E779" t="s">
        <v>895</v>
      </c>
      <c r="F779" s="6">
        <v>44155</v>
      </c>
      <c r="G779">
        <v>118</v>
      </c>
      <c r="H779" s="6">
        <v>47746</v>
      </c>
      <c r="I779" t="s">
        <v>888</v>
      </c>
    </row>
    <row r="780" spans="1:9" x14ac:dyDescent="0.3">
      <c r="A780" t="s">
        <v>1674</v>
      </c>
      <c r="B780" t="s">
        <v>884</v>
      </c>
      <c r="C780" t="s">
        <v>885</v>
      </c>
      <c r="D780" t="s">
        <v>937</v>
      </c>
      <c r="E780" t="s">
        <v>895</v>
      </c>
      <c r="F780" s="6">
        <v>45569</v>
      </c>
      <c r="G780">
        <v>72</v>
      </c>
      <c r="H780" s="6">
        <v>47760</v>
      </c>
      <c r="I780" t="s">
        <v>888</v>
      </c>
    </row>
    <row r="781" spans="1:9" x14ac:dyDescent="0.3">
      <c r="A781" t="s">
        <v>1675</v>
      </c>
      <c r="B781" t="s">
        <v>884</v>
      </c>
      <c r="C781" t="s">
        <v>885</v>
      </c>
      <c r="D781" t="s">
        <v>937</v>
      </c>
      <c r="E781" t="s">
        <v>895</v>
      </c>
      <c r="F781" s="6">
        <v>45569</v>
      </c>
      <c r="G781">
        <v>72</v>
      </c>
      <c r="H781" s="6">
        <v>47760</v>
      </c>
      <c r="I781" t="s">
        <v>888</v>
      </c>
    </row>
    <row r="782" spans="1:9" x14ac:dyDescent="0.3">
      <c r="A782" t="s">
        <v>1676</v>
      </c>
      <c r="B782" t="s">
        <v>884</v>
      </c>
      <c r="C782" t="s">
        <v>885</v>
      </c>
      <c r="D782" t="s">
        <v>886</v>
      </c>
      <c r="E782" t="s">
        <v>895</v>
      </c>
      <c r="F782" s="6">
        <v>45590</v>
      </c>
      <c r="G782">
        <v>72</v>
      </c>
      <c r="H782" s="6">
        <v>47781</v>
      </c>
      <c r="I782" t="s">
        <v>888</v>
      </c>
    </row>
    <row r="783" spans="1:9" x14ac:dyDescent="0.3">
      <c r="A783" t="s">
        <v>1677</v>
      </c>
      <c r="B783" t="s">
        <v>884</v>
      </c>
      <c r="C783" t="s">
        <v>885</v>
      </c>
      <c r="D783" t="s">
        <v>886</v>
      </c>
      <c r="E783" t="s">
        <v>895</v>
      </c>
      <c r="F783" s="6">
        <v>45597</v>
      </c>
      <c r="G783">
        <v>72</v>
      </c>
      <c r="H783" s="6">
        <v>47788</v>
      </c>
      <c r="I783" t="s">
        <v>888</v>
      </c>
    </row>
    <row r="784" spans="1:9" x14ac:dyDescent="0.3">
      <c r="A784" t="s">
        <v>1678</v>
      </c>
      <c r="B784" t="s">
        <v>884</v>
      </c>
      <c r="C784" t="s">
        <v>885</v>
      </c>
      <c r="D784" t="s">
        <v>929</v>
      </c>
      <c r="E784" t="s">
        <v>895</v>
      </c>
      <c r="F784" s="6">
        <v>45604</v>
      </c>
      <c r="G784">
        <v>72</v>
      </c>
      <c r="H784" s="6">
        <v>47795</v>
      </c>
      <c r="I784" t="s">
        <v>888</v>
      </c>
    </row>
    <row r="785" spans="1:9" x14ac:dyDescent="0.3">
      <c r="A785" t="s">
        <v>1679</v>
      </c>
      <c r="B785" t="s">
        <v>884</v>
      </c>
      <c r="C785" t="s">
        <v>885</v>
      </c>
      <c r="D785" t="s">
        <v>929</v>
      </c>
      <c r="E785" t="s">
        <v>895</v>
      </c>
      <c r="F785" s="6">
        <v>44145</v>
      </c>
      <c r="G785">
        <v>120</v>
      </c>
      <c r="H785" s="6">
        <v>47797</v>
      </c>
      <c r="I785" t="s">
        <v>888</v>
      </c>
    </row>
    <row r="786" spans="1:9" x14ac:dyDescent="0.3">
      <c r="A786" t="s">
        <v>1680</v>
      </c>
      <c r="B786" t="s">
        <v>884</v>
      </c>
      <c r="C786" t="s">
        <v>885</v>
      </c>
      <c r="D786" t="s">
        <v>929</v>
      </c>
      <c r="E786" t="s">
        <v>895</v>
      </c>
      <c r="F786" s="6">
        <v>44145</v>
      </c>
      <c r="G786">
        <v>120</v>
      </c>
      <c r="H786" s="6">
        <v>47797</v>
      </c>
      <c r="I786" t="s">
        <v>888</v>
      </c>
    </row>
    <row r="787" spans="1:9" x14ac:dyDescent="0.3">
      <c r="A787" t="s">
        <v>1681</v>
      </c>
      <c r="B787" t="s">
        <v>884</v>
      </c>
      <c r="C787" t="s">
        <v>885</v>
      </c>
      <c r="D787" t="s">
        <v>886</v>
      </c>
      <c r="E787" t="s">
        <v>895</v>
      </c>
      <c r="F787" s="6">
        <v>45615</v>
      </c>
      <c r="G787">
        <v>72</v>
      </c>
      <c r="H787" s="6">
        <v>47806</v>
      </c>
      <c r="I787" t="s">
        <v>888</v>
      </c>
    </row>
    <row r="788" spans="1:9" x14ac:dyDescent="0.3">
      <c r="A788" t="s">
        <v>1682</v>
      </c>
      <c r="B788" t="s">
        <v>884</v>
      </c>
      <c r="C788" t="s">
        <v>885</v>
      </c>
      <c r="D788" t="s">
        <v>886</v>
      </c>
      <c r="E788" t="s">
        <v>895</v>
      </c>
      <c r="F788" s="6">
        <v>44155</v>
      </c>
      <c r="G788">
        <v>120</v>
      </c>
      <c r="H788" s="6">
        <v>47807</v>
      </c>
      <c r="I788" t="s">
        <v>888</v>
      </c>
    </row>
    <row r="789" spans="1:9" x14ac:dyDescent="0.3">
      <c r="A789" t="s">
        <v>1683</v>
      </c>
      <c r="B789" t="s">
        <v>884</v>
      </c>
      <c r="C789" t="s">
        <v>885</v>
      </c>
      <c r="D789" t="s">
        <v>893</v>
      </c>
      <c r="E789" t="s">
        <v>895</v>
      </c>
      <c r="F789" s="6">
        <v>44155</v>
      </c>
      <c r="G789">
        <v>120</v>
      </c>
      <c r="H789" s="6">
        <v>47807</v>
      </c>
      <c r="I789" t="s">
        <v>888</v>
      </c>
    </row>
    <row r="790" spans="1:9" x14ac:dyDescent="0.3">
      <c r="A790" t="s">
        <v>1684</v>
      </c>
      <c r="B790" t="s">
        <v>884</v>
      </c>
      <c r="C790" t="s">
        <v>885</v>
      </c>
      <c r="D790" t="s">
        <v>937</v>
      </c>
      <c r="E790" t="s">
        <v>895</v>
      </c>
      <c r="F790" s="6">
        <v>44155</v>
      </c>
      <c r="G790">
        <v>120</v>
      </c>
      <c r="H790" s="6">
        <v>47807</v>
      </c>
      <c r="I790" t="s">
        <v>888</v>
      </c>
    </row>
    <row r="791" spans="1:9" x14ac:dyDescent="0.3">
      <c r="A791" t="s">
        <v>1685</v>
      </c>
      <c r="B791" t="s">
        <v>884</v>
      </c>
      <c r="C791" t="s">
        <v>885</v>
      </c>
      <c r="D791" t="s">
        <v>893</v>
      </c>
      <c r="E791" t="s">
        <v>895</v>
      </c>
      <c r="F791" s="6">
        <v>44155</v>
      </c>
      <c r="G791">
        <v>120</v>
      </c>
      <c r="H791" s="6">
        <v>47807</v>
      </c>
      <c r="I791" t="s">
        <v>888</v>
      </c>
    </row>
    <row r="792" spans="1:9" x14ac:dyDescent="0.3">
      <c r="A792" t="s">
        <v>1686</v>
      </c>
      <c r="B792" t="s">
        <v>884</v>
      </c>
      <c r="C792" t="s">
        <v>885</v>
      </c>
      <c r="D792" t="s">
        <v>893</v>
      </c>
      <c r="E792" t="s">
        <v>895</v>
      </c>
      <c r="F792" s="6">
        <v>44155</v>
      </c>
      <c r="G792">
        <v>120</v>
      </c>
      <c r="H792" s="6">
        <v>47807</v>
      </c>
      <c r="I792" t="s">
        <v>888</v>
      </c>
    </row>
    <row r="793" spans="1:9" x14ac:dyDescent="0.3">
      <c r="A793" t="s">
        <v>1687</v>
      </c>
      <c r="B793" t="s">
        <v>884</v>
      </c>
      <c r="C793" t="s">
        <v>885</v>
      </c>
      <c r="D793" t="s">
        <v>893</v>
      </c>
      <c r="E793" t="s">
        <v>895</v>
      </c>
      <c r="F793" s="6">
        <v>44155</v>
      </c>
      <c r="G793">
        <v>120</v>
      </c>
      <c r="H793" s="6">
        <v>47807</v>
      </c>
      <c r="I793" t="s">
        <v>888</v>
      </c>
    </row>
    <row r="794" spans="1:9" x14ac:dyDescent="0.3">
      <c r="A794" t="s">
        <v>1688</v>
      </c>
      <c r="B794" t="s">
        <v>884</v>
      </c>
      <c r="C794" t="s">
        <v>885</v>
      </c>
      <c r="D794" t="s">
        <v>893</v>
      </c>
      <c r="E794" t="s">
        <v>895</v>
      </c>
      <c r="F794" s="6">
        <v>44155</v>
      </c>
      <c r="G794">
        <v>120</v>
      </c>
      <c r="H794" s="6">
        <v>47807</v>
      </c>
      <c r="I794" t="s">
        <v>888</v>
      </c>
    </row>
    <row r="795" spans="1:9" x14ac:dyDescent="0.3">
      <c r="A795" t="s">
        <v>1689</v>
      </c>
      <c r="B795" t="s">
        <v>884</v>
      </c>
      <c r="C795" t="s">
        <v>885</v>
      </c>
      <c r="D795" t="s">
        <v>886</v>
      </c>
      <c r="E795" t="s">
        <v>895</v>
      </c>
      <c r="F795" s="6">
        <v>44155</v>
      </c>
      <c r="G795">
        <v>120</v>
      </c>
      <c r="H795" s="6">
        <v>47807</v>
      </c>
      <c r="I795" t="s">
        <v>888</v>
      </c>
    </row>
    <row r="796" spans="1:9" x14ac:dyDescent="0.3">
      <c r="A796" t="s">
        <v>1690</v>
      </c>
      <c r="B796" t="s">
        <v>884</v>
      </c>
      <c r="C796" t="s">
        <v>885</v>
      </c>
      <c r="D796" t="s">
        <v>893</v>
      </c>
      <c r="E796" t="s">
        <v>895</v>
      </c>
      <c r="F796" s="6">
        <v>44155</v>
      </c>
      <c r="G796">
        <v>120</v>
      </c>
      <c r="H796" s="6">
        <v>47807</v>
      </c>
      <c r="I796" t="s">
        <v>888</v>
      </c>
    </row>
    <row r="797" spans="1:9" x14ac:dyDescent="0.3">
      <c r="A797" t="s">
        <v>1691</v>
      </c>
      <c r="B797" t="s">
        <v>884</v>
      </c>
      <c r="C797" t="s">
        <v>885</v>
      </c>
      <c r="D797" t="s">
        <v>893</v>
      </c>
      <c r="E797" t="s">
        <v>895</v>
      </c>
      <c r="F797" s="6">
        <v>44155</v>
      </c>
      <c r="G797">
        <v>120</v>
      </c>
      <c r="H797" s="6">
        <v>47807</v>
      </c>
      <c r="I797" t="s">
        <v>888</v>
      </c>
    </row>
    <row r="798" spans="1:9" x14ac:dyDescent="0.3">
      <c r="A798" t="s">
        <v>1692</v>
      </c>
      <c r="B798" t="s">
        <v>884</v>
      </c>
      <c r="C798" t="s">
        <v>885</v>
      </c>
      <c r="D798" t="s">
        <v>937</v>
      </c>
      <c r="E798" t="s">
        <v>895</v>
      </c>
      <c r="F798" s="6">
        <v>44155</v>
      </c>
      <c r="G798">
        <v>120</v>
      </c>
      <c r="H798" s="6">
        <v>47807</v>
      </c>
      <c r="I798" t="s">
        <v>888</v>
      </c>
    </row>
    <row r="799" spans="1:9" x14ac:dyDescent="0.3">
      <c r="A799" t="s">
        <v>1693</v>
      </c>
      <c r="B799" t="s">
        <v>884</v>
      </c>
      <c r="C799" t="s">
        <v>885</v>
      </c>
      <c r="D799" t="s">
        <v>937</v>
      </c>
      <c r="E799" t="s">
        <v>895</v>
      </c>
      <c r="F799" s="6">
        <v>44155</v>
      </c>
      <c r="G799">
        <v>120</v>
      </c>
      <c r="H799" s="6">
        <v>47807</v>
      </c>
      <c r="I799" t="s">
        <v>888</v>
      </c>
    </row>
    <row r="800" spans="1:9" x14ac:dyDescent="0.3">
      <c r="A800" t="s">
        <v>1694</v>
      </c>
      <c r="B800" t="s">
        <v>884</v>
      </c>
      <c r="C800" t="s">
        <v>885</v>
      </c>
      <c r="D800" t="s">
        <v>893</v>
      </c>
      <c r="E800" t="s">
        <v>895</v>
      </c>
      <c r="F800" s="6">
        <v>44155</v>
      </c>
      <c r="G800">
        <v>120</v>
      </c>
      <c r="H800" s="6">
        <v>47807</v>
      </c>
      <c r="I800" t="s">
        <v>888</v>
      </c>
    </row>
    <row r="801" spans="1:9" x14ac:dyDescent="0.3">
      <c r="A801" t="s">
        <v>1695</v>
      </c>
      <c r="B801" t="s">
        <v>884</v>
      </c>
      <c r="C801" t="s">
        <v>885</v>
      </c>
      <c r="D801" t="s">
        <v>893</v>
      </c>
      <c r="E801" t="s">
        <v>895</v>
      </c>
      <c r="F801" s="6">
        <v>44155</v>
      </c>
      <c r="G801">
        <v>120</v>
      </c>
      <c r="H801" s="6">
        <v>47807</v>
      </c>
      <c r="I801" t="s">
        <v>888</v>
      </c>
    </row>
    <row r="802" spans="1:9" x14ac:dyDescent="0.3">
      <c r="A802" t="s">
        <v>1696</v>
      </c>
      <c r="B802" t="s">
        <v>884</v>
      </c>
      <c r="C802" t="s">
        <v>885</v>
      </c>
      <c r="D802" t="s">
        <v>886</v>
      </c>
      <c r="E802" t="s">
        <v>895</v>
      </c>
      <c r="F802" s="6">
        <v>44155</v>
      </c>
      <c r="G802">
        <v>120</v>
      </c>
      <c r="H802" s="6">
        <v>47807</v>
      </c>
      <c r="I802" t="s">
        <v>888</v>
      </c>
    </row>
    <row r="803" spans="1:9" x14ac:dyDescent="0.3">
      <c r="A803" t="s">
        <v>1697</v>
      </c>
      <c r="B803" t="s">
        <v>884</v>
      </c>
      <c r="C803" t="s">
        <v>885</v>
      </c>
      <c r="D803" t="s">
        <v>886</v>
      </c>
      <c r="E803" t="s">
        <v>895</v>
      </c>
      <c r="F803" s="6">
        <v>44155</v>
      </c>
      <c r="G803">
        <v>120</v>
      </c>
      <c r="H803" s="6">
        <v>47807</v>
      </c>
      <c r="I803" t="s">
        <v>888</v>
      </c>
    </row>
    <row r="804" spans="1:9" x14ac:dyDescent="0.3">
      <c r="A804" t="s">
        <v>1698</v>
      </c>
      <c r="B804" t="s">
        <v>884</v>
      </c>
      <c r="C804" t="s">
        <v>885</v>
      </c>
      <c r="D804" t="s">
        <v>886</v>
      </c>
      <c r="E804" t="s">
        <v>895</v>
      </c>
      <c r="F804" s="6">
        <v>44155</v>
      </c>
      <c r="G804">
        <v>120</v>
      </c>
      <c r="H804" s="6">
        <v>47807</v>
      </c>
      <c r="I804" t="s">
        <v>888</v>
      </c>
    </row>
    <row r="805" spans="1:9" x14ac:dyDescent="0.3">
      <c r="A805" t="s">
        <v>1699</v>
      </c>
      <c r="B805" t="s">
        <v>884</v>
      </c>
      <c r="C805" t="s">
        <v>885</v>
      </c>
      <c r="D805" t="s">
        <v>937</v>
      </c>
      <c r="E805" t="s">
        <v>895</v>
      </c>
      <c r="F805" s="6">
        <v>44155</v>
      </c>
      <c r="G805">
        <v>120</v>
      </c>
      <c r="H805" s="6">
        <v>47807</v>
      </c>
      <c r="I805" t="s">
        <v>888</v>
      </c>
    </row>
    <row r="806" spans="1:9" x14ac:dyDescent="0.3">
      <c r="A806" t="s">
        <v>1700</v>
      </c>
      <c r="B806" t="s">
        <v>884</v>
      </c>
      <c r="C806" t="s">
        <v>885</v>
      </c>
      <c r="D806" t="s">
        <v>886</v>
      </c>
      <c r="E806" t="s">
        <v>895</v>
      </c>
      <c r="F806" s="6">
        <v>44155</v>
      </c>
      <c r="G806">
        <v>120</v>
      </c>
      <c r="H806" s="6">
        <v>47807</v>
      </c>
      <c r="I806" t="s">
        <v>888</v>
      </c>
    </row>
    <row r="807" spans="1:9" x14ac:dyDescent="0.3">
      <c r="A807" t="s">
        <v>1701</v>
      </c>
      <c r="B807" t="s">
        <v>884</v>
      </c>
      <c r="C807" t="s">
        <v>885</v>
      </c>
      <c r="D807" t="s">
        <v>886</v>
      </c>
      <c r="E807" t="s">
        <v>895</v>
      </c>
      <c r="F807" s="6">
        <v>44155</v>
      </c>
      <c r="G807">
        <v>120</v>
      </c>
      <c r="H807" s="6">
        <v>47807</v>
      </c>
      <c r="I807" t="s">
        <v>888</v>
      </c>
    </row>
    <row r="808" spans="1:9" x14ac:dyDescent="0.3">
      <c r="A808" t="s">
        <v>1702</v>
      </c>
      <c r="B808" t="s">
        <v>884</v>
      </c>
      <c r="C808" t="s">
        <v>885</v>
      </c>
      <c r="D808" t="s">
        <v>904</v>
      </c>
      <c r="E808" t="s">
        <v>895</v>
      </c>
      <c r="F808" s="6">
        <v>44155</v>
      </c>
      <c r="G808">
        <v>120</v>
      </c>
      <c r="H808" s="6">
        <v>47807</v>
      </c>
      <c r="I808" t="s">
        <v>888</v>
      </c>
    </row>
    <row r="809" spans="1:9" x14ac:dyDescent="0.3">
      <c r="A809" t="s">
        <v>1703</v>
      </c>
      <c r="B809" t="s">
        <v>884</v>
      </c>
      <c r="C809" t="s">
        <v>885</v>
      </c>
      <c r="D809" t="s">
        <v>893</v>
      </c>
      <c r="E809" t="s">
        <v>895</v>
      </c>
      <c r="F809" s="6">
        <v>44155</v>
      </c>
      <c r="G809">
        <v>120</v>
      </c>
      <c r="H809" s="6">
        <v>47807</v>
      </c>
      <c r="I809" t="s">
        <v>888</v>
      </c>
    </row>
    <row r="810" spans="1:9" x14ac:dyDescent="0.3">
      <c r="A810" t="s">
        <v>1704</v>
      </c>
      <c r="B810" t="s">
        <v>884</v>
      </c>
      <c r="C810" t="s">
        <v>885</v>
      </c>
      <c r="D810" t="s">
        <v>893</v>
      </c>
      <c r="E810" t="s">
        <v>895</v>
      </c>
      <c r="F810" s="6">
        <v>44155</v>
      </c>
      <c r="G810">
        <v>120</v>
      </c>
      <c r="H810" s="6">
        <v>47807</v>
      </c>
      <c r="I810" t="s">
        <v>888</v>
      </c>
    </row>
    <row r="811" spans="1:9" x14ac:dyDescent="0.3">
      <c r="A811" t="s">
        <v>1705</v>
      </c>
      <c r="B811" t="s">
        <v>884</v>
      </c>
      <c r="C811" t="s">
        <v>885</v>
      </c>
      <c r="D811" t="s">
        <v>937</v>
      </c>
      <c r="E811" t="s">
        <v>895</v>
      </c>
      <c r="F811" s="6">
        <v>44155</v>
      </c>
      <c r="G811">
        <v>120</v>
      </c>
      <c r="H811" s="6">
        <v>47807</v>
      </c>
      <c r="I811" t="s">
        <v>888</v>
      </c>
    </row>
    <row r="812" spans="1:9" x14ac:dyDescent="0.3">
      <c r="A812" t="s">
        <v>1706</v>
      </c>
      <c r="B812" t="s">
        <v>884</v>
      </c>
      <c r="C812" t="s">
        <v>885</v>
      </c>
      <c r="D812" t="s">
        <v>937</v>
      </c>
      <c r="E812" t="s">
        <v>895</v>
      </c>
      <c r="F812" s="6">
        <v>44155</v>
      </c>
      <c r="G812">
        <v>120</v>
      </c>
      <c r="H812" s="6">
        <v>47807</v>
      </c>
      <c r="I812" t="s">
        <v>888</v>
      </c>
    </row>
    <row r="813" spans="1:9" x14ac:dyDescent="0.3">
      <c r="A813" t="s">
        <v>1707</v>
      </c>
      <c r="B813" t="s">
        <v>884</v>
      </c>
      <c r="C813" t="s">
        <v>885</v>
      </c>
      <c r="D813" t="s">
        <v>886</v>
      </c>
      <c r="E813" t="s">
        <v>895</v>
      </c>
      <c r="F813" s="6">
        <v>44155</v>
      </c>
      <c r="G813">
        <v>120</v>
      </c>
      <c r="H813" s="6">
        <v>47807</v>
      </c>
      <c r="I813" t="s">
        <v>888</v>
      </c>
    </row>
    <row r="814" spans="1:9" x14ac:dyDescent="0.3">
      <c r="A814" t="s">
        <v>1708</v>
      </c>
      <c r="B814" t="s">
        <v>884</v>
      </c>
      <c r="C814" t="s">
        <v>885</v>
      </c>
      <c r="D814" t="s">
        <v>929</v>
      </c>
      <c r="E814" t="s">
        <v>895</v>
      </c>
      <c r="F814" s="6">
        <v>45617</v>
      </c>
      <c r="G814">
        <v>72</v>
      </c>
      <c r="H814" s="6">
        <v>47808</v>
      </c>
      <c r="I814" t="s">
        <v>888</v>
      </c>
    </row>
    <row r="815" spans="1:9" x14ac:dyDescent="0.3">
      <c r="A815" t="s">
        <v>1709</v>
      </c>
      <c r="B815" t="s">
        <v>884</v>
      </c>
      <c r="C815" t="s">
        <v>885</v>
      </c>
      <c r="D815" t="s">
        <v>891</v>
      </c>
      <c r="E815" t="s">
        <v>895</v>
      </c>
      <c r="F815" s="6">
        <v>45617</v>
      </c>
      <c r="G815">
        <v>72</v>
      </c>
      <c r="H815" s="6">
        <v>47808</v>
      </c>
      <c r="I815" t="s">
        <v>888</v>
      </c>
    </row>
    <row r="816" spans="1:9" x14ac:dyDescent="0.3">
      <c r="A816" t="s">
        <v>1710</v>
      </c>
      <c r="B816" t="s">
        <v>884</v>
      </c>
      <c r="C816" t="s">
        <v>885</v>
      </c>
      <c r="D816" t="s">
        <v>891</v>
      </c>
      <c r="E816" t="s">
        <v>895</v>
      </c>
      <c r="F816" s="6">
        <v>45617</v>
      </c>
      <c r="G816">
        <v>72</v>
      </c>
      <c r="H816" s="6">
        <v>47808</v>
      </c>
      <c r="I816" t="s">
        <v>888</v>
      </c>
    </row>
    <row r="817" spans="1:9" x14ac:dyDescent="0.3">
      <c r="A817" t="s">
        <v>1711</v>
      </c>
      <c r="B817" t="s">
        <v>884</v>
      </c>
      <c r="C817" t="s">
        <v>885</v>
      </c>
      <c r="D817" t="s">
        <v>891</v>
      </c>
      <c r="E817" t="s">
        <v>895</v>
      </c>
      <c r="F817" s="6">
        <v>45617</v>
      </c>
      <c r="G817">
        <v>72</v>
      </c>
      <c r="H817" s="6">
        <v>47808</v>
      </c>
      <c r="I817" t="s">
        <v>888</v>
      </c>
    </row>
    <row r="818" spans="1:9" x14ac:dyDescent="0.3">
      <c r="A818" t="s">
        <v>1712</v>
      </c>
      <c r="B818" t="s">
        <v>884</v>
      </c>
      <c r="C818" t="s">
        <v>885</v>
      </c>
      <c r="D818" t="s">
        <v>891</v>
      </c>
      <c r="E818" t="s">
        <v>895</v>
      </c>
      <c r="F818" s="6">
        <v>45617</v>
      </c>
      <c r="G818">
        <v>72</v>
      </c>
      <c r="H818" s="6">
        <v>47808</v>
      </c>
      <c r="I818" t="s">
        <v>888</v>
      </c>
    </row>
    <row r="819" spans="1:9" x14ac:dyDescent="0.3">
      <c r="A819" t="s">
        <v>1713</v>
      </c>
      <c r="B819" t="s">
        <v>884</v>
      </c>
      <c r="C819" t="s">
        <v>885</v>
      </c>
      <c r="D819" t="s">
        <v>891</v>
      </c>
      <c r="E819" t="s">
        <v>895</v>
      </c>
      <c r="F819" s="6">
        <v>45617</v>
      </c>
      <c r="G819">
        <v>72</v>
      </c>
      <c r="H819" s="6">
        <v>47808</v>
      </c>
      <c r="I819" t="s">
        <v>888</v>
      </c>
    </row>
    <row r="820" spans="1:9" x14ac:dyDescent="0.3">
      <c r="A820" t="s">
        <v>1714</v>
      </c>
      <c r="B820" t="s">
        <v>884</v>
      </c>
      <c r="C820" t="s">
        <v>885</v>
      </c>
      <c r="D820" t="s">
        <v>891</v>
      </c>
      <c r="E820" t="s">
        <v>895</v>
      </c>
      <c r="F820" s="6">
        <v>45617</v>
      </c>
      <c r="G820">
        <v>72</v>
      </c>
      <c r="H820" s="6">
        <v>47808</v>
      </c>
      <c r="I820" t="s">
        <v>888</v>
      </c>
    </row>
    <row r="821" spans="1:9" x14ac:dyDescent="0.3">
      <c r="A821" t="s">
        <v>1715</v>
      </c>
      <c r="B821" t="s">
        <v>884</v>
      </c>
      <c r="C821" t="s">
        <v>885</v>
      </c>
      <c r="D821" t="s">
        <v>891</v>
      </c>
      <c r="E821" t="s">
        <v>895</v>
      </c>
      <c r="F821" s="6">
        <v>45617</v>
      </c>
      <c r="G821">
        <v>72</v>
      </c>
      <c r="H821" s="6">
        <v>47808</v>
      </c>
      <c r="I821" t="s">
        <v>888</v>
      </c>
    </row>
    <row r="822" spans="1:9" x14ac:dyDescent="0.3">
      <c r="A822" t="s">
        <v>1716</v>
      </c>
      <c r="B822" t="s">
        <v>884</v>
      </c>
      <c r="C822" t="s">
        <v>885</v>
      </c>
      <c r="D822" t="s">
        <v>891</v>
      </c>
      <c r="E822" t="s">
        <v>895</v>
      </c>
      <c r="F822" s="6">
        <v>45617</v>
      </c>
      <c r="G822">
        <v>72</v>
      </c>
      <c r="H822" s="6">
        <v>47808</v>
      </c>
      <c r="I822" t="s">
        <v>888</v>
      </c>
    </row>
    <row r="823" spans="1:9" x14ac:dyDescent="0.3">
      <c r="A823" t="s">
        <v>1717</v>
      </c>
      <c r="B823" t="s">
        <v>884</v>
      </c>
      <c r="C823" t="s">
        <v>885</v>
      </c>
      <c r="D823" t="s">
        <v>891</v>
      </c>
      <c r="E823" t="s">
        <v>895</v>
      </c>
      <c r="F823" s="6">
        <v>45617</v>
      </c>
      <c r="G823">
        <v>72</v>
      </c>
      <c r="H823" s="6">
        <v>47808</v>
      </c>
      <c r="I823" t="s">
        <v>888</v>
      </c>
    </row>
    <row r="824" spans="1:9" x14ac:dyDescent="0.3">
      <c r="A824" t="s">
        <v>1718</v>
      </c>
      <c r="B824" t="s">
        <v>884</v>
      </c>
      <c r="C824" t="s">
        <v>885</v>
      </c>
      <c r="D824" t="s">
        <v>886</v>
      </c>
      <c r="E824" t="s">
        <v>895</v>
      </c>
      <c r="F824" s="6">
        <v>45621</v>
      </c>
      <c r="G824">
        <v>72</v>
      </c>
      <c r="H824" s="6">
        <v>47812</v>
      </c>
      <c r="I824" t="s">
        <v>888</v>
      </c>
    </row>
    <row r="825" spans="1:9" x14ac:dyDescent="0.3">
      <c r="A825" t="s">
        <v>1719</v>
      </c>
      <c r="B825" t="s">
        <v>884</v>
      </c>
      <c r="C825" t="s">
        <v>885</v>
      </c>
      <c r="D825" t="s">
        <v>909</v>
      </c>
      <c r="E825" t="s">
        <v>895</v>
      </c>
      <c r="F825" s="6">
        <v>44169</v>
      </c>
      <c r="G825">
        <v>120</v>
      </c>
      <c r="H825" s="6">
        <v>47821</v>
      </c>
      <c r="I825" t="s">
        <v>888</v>
      </c>
    </row>
    <row r="826" spans="1:9" x14ac:dyDescent="0.3">
      <c r="A826" t="s">
        <v>1720</v>
      </c>
      <c r="B826" t="s">
        <v>884</v>
      </c>
      <c r="C826" t="s">
        <v>885</v>
      </c>
      <c r="D826" t="s">
        <v>909</v>
      </c>
      <c r="E826" t="s">
        <v>895</v>
      </c>
      <c r="F826" s="6">
        <v>44169</v>
      </c>
      <c r="G826">
        <v>120</v>
      </c>
      <c r="H826" s="6">
        <v>47821</v>
      </c>
      <c r="I826" t="s">
        <v>888</v>
      </c>
    </row>
    <row r="827" spans="1:9" x14ac:dyDescent="0.3">
      <c r="A827" t="s">
        <v>1721</v>
      </c>
      <c r="B827" t="s">
        <v>884</v>
      </c>
      <c r="C827" t="s">
        <v>885</v>
      </c>
      <c r="D827" t="s">
        <v>904</v>
      </c>
      <c r="E827" t="s">
        <v>895</v>
      </c>
      <c r="F827" s="6">
        <v>44169</v>
      </c>
      <c r="G827">
        <v>120</v>
      </c>
      <c r="H827" s="6">
        <v>47821</v>
      </c>
      <c r="I827" t="s">
        <v>888</v>
      </c>
    </row>
    <row r="828" spans="1:9" x14ac:dyDescent="0.3">
      <c r="A828" t="s">
        <v>1722</v>
      </c>
      <c r="B828" t="s">
        <v>884</v>
      </c>
      <c r="C828" t="s">
        <v>885</v>
      </c>
      <c r="D828" t="s">
        <v>904</v>
      </c>
      <c r="E828" t="s">
        <v>895</v>
      </c>
      <c r="F828" s="6">
        <v>44169</v>
      </c>
      <c r="G828">
        <v>120</v>
      </c>
      <c r="H828" s="6">
        <v>47821</v>
      </c>
      <c r="I828" t="s">
        <v>888</v>
      </c>
    </row>
    <row r="829" spans="1:9" x14ac:dyDescent="0.3">
      <c r="A829" t="s">
        <v>1723</v>
      </c>
      <c r="B829" t="s">
        <v>884</v>
      </c>
      <c r="C829" t="s">
        <v>885</v>
      </c>
      <c r="D829" t="s">
        <v>904</v>
      </c>
      <c r="E829" t="s">
        <v>895</v>
      </c>
      <c r="F829" s="6">
        <v>44169</v>
      </c>
      <c r="G829">
        <v>120</v>
      </c>
      <c r="H829" s="6">
        <v>47821</v>
      </c>
      <c r="I829" t="s">
        <v>888</v>
      </c>
    </row>
    <row r="830" spans="1:9" x14ac:dyDescent="0.3">
      <c r="A830" t="s">
        <v>1724</v>
      </c>
      <c r="B830" t="s">
        <v>884</v>
      </c>
      <c r="C830" t="s">
        <v>885</v>
      </c>
      <c r="D830" t="s">
        <v>909</v>
      </c>
      <c r="E830" t="s">
        <v>895</v>
      </c>
      <c r="F830" s="6">
        <v>44169</v>
      </c>
      <c r="G830">
        <v>120</v>
      </c>
      <c r="H830" s="6">
        <v>47821</v>
      </c>
      <c r="I830" t="s">
        <v>888</v>
      </c>
    </row>
    <row r="831" spans="1:9" x14ac:dyDescent="0.3">
      <c r="A831" t="s">
        <v>1725</v>
      </c>
      <c r="B831" t="s">
        <v>884</v>
      </c>
      <c r="C831" t="s">
        <v>885</v>
      </c>
      <c r="D831" t="s">
        <v>891</v>
      </c>
      <c r="E831" t="s">
        <v>895</v>
      </c>
      <c r="F831" s="6">
        <v>45631</v>
      </c>
      <c r="G831">
        <v>72</v>
      </c>
      <c r="H831" s="6">
        <v>47822</v>
      </c>
      <c r="I831" t="s">
        <v>888</v>
      </c>
    </row>
    <row r="832" spans="1:9" x14ac:dyDescent="0.3">
      <c r="A832" t="s">
        <v>1726</v>
      </c>
      <c r="B832" t="s">
        <v>884</v>
      </c>
      <c r="C832" t="s">
        <v>885</v>
      </c>
      <c r="D832" t="s">
        <v>891</v>
      </c>
      <c r="E832" t="s">
        <v>895</v>
      </c>
      <c r="F832" s="6">
        <v>44188</v>
      </c>
      <c r="G832">
        <v>120</v>
      </c>
      <c r="H832" s="6">
        <v>47840</v>
      </c>
      <c r="I832" t="s">
        <v>888</v>
      </c>
    </row>
    <row r="833" spans="1:9" x14ac:dyDescent="0.3">
      <c r="A833" t="s">
        <v>1727</v>
      </c>
      <c r="B833" t="s">
        <v>884</v>
      </c>
      <c r="C833" t="s">
        <v>885</v>
      </c>
      <c r="D833" t="s">
        <v>891</v>
      </c>
      <c r="E833" t="s">
        <v>895</v>
      </c>
      <c r="F833" s="6">
        <v>44188</v>
      </c>
      <c r="G833">
        <v>120</v>
      </c>
      <c r="H833" s="6">
        <v>47840</v>
      </c>
      <c r="I833" t="s">
        <v>888</v>
      </c>
    </row>
    <row r="834" spans="1:9" x14ac:dyDescent="0.3">
      <c r="A834" t="s">
        <v>1728</v>
      </c>
      <c r="B834" t="s">
        <v>884</v>
      </c>
      <c r="C834" t="s">
        <v>885</v>
      </c>
      <c r="D834" t="s">
        <v>891</v>
      </c>
      <c r="E834" t="s">
        <v>895</v>
      </c>
      <c r="F834" s="6">
        <v>44188</v>
      </c>
      <c r="G834">
        <v>120</v>
      </c>
      <c r="H834" s="6">
        <v>47840</v>
      </c>
      <c r="I834" t="s">
        <v>888</v>
      </c>
    </row>
    <row r="835" spans="1:9" x14ac:dyDescent="0.3">
      <c r="A835" t="s">
        <v>1729</v>
      </c>
      <c r="B835" t="s">
        <v>884</v>
      </c>
      <c r="C835" t="s">
        <v>885</v>
      </c>
      <c r="D835" t="s">
        <v>891</v>
      </c>
      <c r="E835" t="s">
        <v>895</v>
      </c>
      <c r="F835" s="6">
        <v>44188</v>
      </c>
      <c r="G835">
        <v>120</v>
      </c>
      <c r="H835" s="6">
        <v>47840</v>
      </c>
      <c r="I835" t="s">
        <v>888</v>
      </c>
    </row>
    <row r="836" spans="1:9" x14ac:dyDescent="0.3">
      <c r="A836" t="s">
        <v>1730</v>
      </c>
      <c r="B836" t="s">
        <v>884</v>
      </c>
      <c r="C836" t="s">
        <v>885</v>
      </c>
      <c r="D836" t="s">
        <v>891</v>
      </c>
      <c r="E836" t="s">
        <v>895</v>
      </c>
      <c r="F836" s="6">
        <v>44188</v>
      </c>
      <c r="G836">
        <v>120</v>
      </c>
      <c r="H836" s="6">
        <v>47840</v>
      </c>
      <c r="I836" t="s">
        <v>888</v>
      </c>
    </row>
    <row r="837" spans="1:9" x14ac:dyDescent="0.3">
      <c r="A837" t="s">
        <v>1731</v>
      </c>
      <c r="B837" t="s">
        <v>884</v>
      </c>
      <c r="C837" t="s">
        <v>885</v>
      </c>
      <c r="D837" t="s">
        <v>891</v>
      </c>
      <c r="E837" t="s">
        <v>895</v>
      </c>
      <c r="F837" s="6">
        <v>44188</v>
      </c>
      <c r="G837">
        <v>120</v>
      </c>
      <c r="H837" s="6">
        <v>47840</v>
      </c>
      <c r="I837" t="s">
        <v>888</v>
      </c>
    </row>
    <row r="838" spans="1:9" x14ac:dyDescent="0.3">
      <c r="A838" t="s">
        <v>1732</v>
      </c>
      <c r="B838" t="s">
        <v>884</v>
      </c>
      <c r="C838" t="s">
        <v>885</v>
      </c>
      <c r="D838" t="s">
        <v>893</v>
      </c>
      <c r="E838" t="s">
        <v>895</v>
      </c>
      <c r="F838" s="6">
        <v>44935</v>
      </c>
      <c r="G838">
        <v>96</v>
      </c>
      <c r="H838" s="6">
        <v>47857</v>
      </c>
      <c r="I838" t="s">
        <v>888</v>
      </c>
    </row>
    <row r="839" spans="1:9" x14ac:dyDescent="0.3">
      <c r="A839" t="s">
        <v>1733</v>
      </c>
      <c r="B839" t="s">
        <v>884</v>
      </c>
      <c r="C839" t="s">
        <v>885</v>
      </c>
      <c r="D839" t="s">
        <v>937</v>
      </c>
      <c r="E839" t="s">
        <v>895</v>
      </c>
      <c r="F839" s="6">
        <v>45869</v>
      </c>
      <c r="G839">
        <v>67</v>
      </c>
      <c r="H839" s="6">
        <v>47882</v>
      </c>
      <c r="I839" t="s">
        <v>888</v>
      </c>
    </row>
    <row r="840" spans="1:9" x14ac:dyDescent="0.3">
      <c r="A840" t="s">
        <v>1734</v>
      </c>
      <c r="B840" t="s">
        <v>884</v>
      </c>
      <c r="C840" t="s">
        <v>885</v>
      </c>
      <c r="D840" t="s">
        <v>886</v>
      </c>
      <c r="E840" t="s">
        <v>895</v>
      </c>
      <c r="F840" s="6">
        <v>45692</v>
      </c>
      <c r="G840">
        <v>72</v>
      </c>
      <c r="H840" s="6">
        <v>47883</v>
      </c>
      <c r="I840" t="s">
        <v>888</v>
      </c>
    </row>
    <row r="841" spans="1:9" x14ac:dyDescent="0.3">
      <c r="A841" t="s">
        <v>1735</v>
      </c>
      <c r="B841" t="s">
        <v>884</v>
      </c>
      <c r="C841" t="s">
        <v>885</v>
      </c>
      <c r="D841" t="s">
        <v>886</v>
      </c>
      <c r="E841" t="s">
        <v>895</v>
      </c>
      <c r="F841" s="6">
        <v>45695</v>
      </c>
      <c r="G841">
        <v>72</v>
      </c>
      <c r="H841" s="6">
        <v>47886</v>
      </c>
      <c r="I841" t="s">
        <v>888</v>
      </c>
    </row>
    <row r="842" spans="1:9" x14ac:dyDescent="0.3">
      <c r="A842" t="s">
        <v>1736</v>
      </c>
      <c r="B842" t="s">
        <v>884</v>
      </c>
      <c r="C842" t="s">
        <v>885</v>
      </c>
      <c r="D842" t="s">
        <v>886</v>
      </c>
      <c r="E842" t="s">
        <v>895</v>
      </c>
      <c r="F842" s="6">
        <v>45699</v>
      </c>
      <c r="G842">
        <v>72</v>
      </c>
      <c r="H842" s="6">
        <v>47890</v>
      </c>
      <c r="I842" t="s">
        <v>888</v>
      </c>
    </row>
    <row r="843" spans="1:9" x14ac:dyDescent="0.3">
      <c r="A843" t="s">
        <v>1737</v>
      </c>
      <c r="B843" t="s">
        <v>884</v>
      </c>
      <c r="C843" t="s">
        <v>885</v>
      </c>
      <c r="D843" t="s">
        <v>886</v>
      </c>
      <c r="E843" t="s">
        <v>895</v>
      </c>
      <c r="F843" s="6">
        <v>45744</v>
      </c>
      <c r="G843">
        <v>72</v>
      </c>
      <c r="H843" s="6">
        <v>47935</v>
      </c>
      <c r="I843" t="s">
        <v>888</v>
      </c>
    </row>
    <row r="844" spans="1:9" x14ac:dyDescent="0.3">
      <c r="A844" t="s">
        <v>1738</v>
      </c>
      <c r="B844" t="s">
        <v>884</v>
      </c>
      <c r="C844" t="s">
        <v>885</v>
      </c>
      <c r="D844" t="s">
        <v>891</v>
      </c>
      <c r="E844" t="s">
        <v>895</v>
      </c>
      <c r="F844" s="6">
        <v>45747</v>
      </c>
      <c r="G844">
        <v>72</v>
      </c>
      <c r="H844" s="6">
        <v>47938</v>
      </c>
      <c r="I844" t="s">
        <v>888</v>
      </c>
    </row>
    <row r="845" spans="1:9" x14ac:dyDescent="0.3">
      <c r="A845" t="s">
        <v>1739</v>
      </c>
      <c r="B845" t="s">
        <v>884</v>
      </c>
      <c r="C845" t="s">
        <v>885</v>
      </c>
      <c r="D845" t="s">
        <v>937</v>
      </c>
      <c r="E845" t="s">
        <v>895</v>
      </c>
      <c r="F845" s="6">
        <v>45754</v>
      </c>
      <c r="G845">
        <v>72</v>
      </c>
      <c r="H845" s="6">
        <v>47945</v>
      </c>
      <c r="I845" t="s">
        <v>888</v>
      </c>
    </row>
    <row r="846" spans="1:9" x14ac:dyDescent="0.3">
      <c r="A846" t="s">
        <v>1740</v>
      </c>
      <c r="B846" t="s">
        <v>884</v>
      </c>
      <c r="C846" t="s">
        <v>885</v>
      </c>
      <c r="D846" t="s">
        <v>929</v>
      </c>
      <c r="E846" t="s">
        <v>895</v>
      </c>
      <c r="F846" s="6">
        <v>44306</v>
      </c>
      <c r="G846">
        <v>120</v>
      </c>
      <c r="H846" s="6">
        <v>47958</v>
      </c>
      <c r="I846" t="s">
        <v>888</v>
      </c>
    </row>
    <row r="847" spans="1:9" x14ac:dyDescent="0.3">
      <c r="A847" t="s">
        <v>1741</v>
      </c>
      <c r="B847" t="s">
        <v>884</v>
      </c>
      <c r="C847" t="s">
        <v>885</v>
      </c>
      <c r="D847" t="s">
        <v>886</v>
      </c>
      <c r="E847" t="s">
        <v>895</v>
      </c>
      <c r="F847" s="6">
        <v>45769</v>
      </c>
      <c r="G847">
        <v>72</v>
      </c>
      <c r="H847" s="6">
        <v>47960</v>
      </c>
      <c r="I847" t="s">
        <v>888</v>
      </c>
    </row>
    <row r="848" spans="1:9" x14ac:dyDescent="0.3">
      <c r="A848" t="s">
        <v>1742</v>
      </c>
      <c r="B848" t="s">
        <v>884</v>
      </c>
      <c r="C848" t="s">
        <v>885</v>
      </c>
      <c r="D848" t="s">
        <v>886</v>
      </c>
      <c r="E848" t="s">
        <v>895</v>
      </c>
      <c r="F848" s="6">
        <v>45785</v>
      </c>
      <c r="G848">
        <v>72</v>
      </c>
      <c r="H848" s="6">
        <v>47976</v>
      </c>
      <c r="I848" t="s">
        <v>888</v>
      </c>
    </row>
    <row r="849" spans="1:9" x14ac:dyDescent="0.3">
      <c r="A849" t="s">
        <v>1743</v>
      </c>
      <c r="B849" t="s">
        <v>884</v>
      </c>
      <c r="C849" t="s">
        <v>885</v>
      </c>
      <c r="D849" t="s">
        <v>929</v>
      </c>
      <c r="E849" t="s">
        <v>895</v>
      </c>
      <c r="F849" s="6">
        <v>45789</v>
      </c>
      <c r="G849">
        <v>72</v>
      </c>
      <c r="H849" s="6">
        <v>47980</v>
      </c>
      <c r="I849" t="s">
        <v>888</v>
      </c>
    </row>
    <row r="850" spans="1:9" x14ac:dyDescent="0.3">
      <c r="A850" t="s">
        <v>1744</v>
      </c>
      <c r="B850" t="s">
        <v>884</v>
      </c>
      <c r="C850" t="s">
        <v>885</v>
      </c>
      <c r="D850" t="s">
        <v>929</v>
      </c>
      <c r="E850" t="s">
        <v>895</v>
      </c>
      <c r="F850" s="6">
        <v>45790</v>
      </c>
      <c r="G850">
        <v>72</v>
      </c>
      <c r="H850" s="6">
        <v>47981</v>
      </c>
      <c r="I850" t="s">
        <v>888</v>
      </c>
    </row>
    <row r="851" spans="1:9" x14ac:dyDescent="0.3">
      <c r="A851" t="s">
        <v>1745</v>
      </c>
      <c r="B851" t="s">
        <v>884</v>
      </c>
      <c r="C851" t="s">
        <v>885</v>
      </c>
      <c r="D851" t="s">
        <v>886</v>
      </c>
      <c r="E851" t="s">
        <v>895</v>
      </c>
      <c r="F851" s="6">
        <v>45803</v>
      </c>
      <c r="G851">
        <v>72</v>
      </c>
      <c r="H851" s="6">
        <v>47994</v>
      </c>
      <c r="I851" t="s">
        <v>888</v>
      </c>
    </row>
    <row r="852" spans="1:9" x14ac:dyDescent="0.3">
      <c r="A852" t="s">
        <v>1746</v>
      </c>
      <c r="B852" t="s">
        <v>884</v>
      </c>
      <c r="C852" t="s">
        <v>885</v>
      </c>
      <c r="D852" t="s">
        <v>886</v>
      </c>
      <c r="E852" t="s">
        <v>895</v>
      </c>
      <c r="F852" s="6">
        <v>45842</v>
      </c>
      <c r="G852">
        <v>72</v>
      </c>
      <c r="H852" s="6">
        <v>48033</v>
      </c>
      <c r="I852" t="s">
        <v>888</v>
      </c>
    </row>
    <row r="853" spans="1:9" x14ac:dyDescent="0.3">
      <c r="A853" t="s">
        <v>1747</v>
      </c>
      <c r="B853" t="s">
        <v>884</v>
      </c>
      <c r="C853" t="s">
        <v>885</v>
      </c>
      <c r="D853" t="s">
        <v>886</v>
      </c>
      <c r="E853" t="s">
        <v>895</v>
      </c>
      <c r="F853" s="6">
        <v>45842</v>
      </c>
      <c r="G853">
        <v>72</v>
      </c>
      <c r="H853" s="6">
        <v>48033</v>
      </c>
      <c r="I853" t="s">
        <v>888</v>
      </c>
    </row>
    <row r="854" spans="1:9" x14ac:dyDescent="0.3">
      <c r="A854" t="s">
        <v>1748</v>
      </c>
      <c r="B854" t="s">
        <v>884</v>
      </c>
      <c r="C854" t="s">
        <v>885</v>
      </c>
      <c r="D854" t="s">
        <v>893</v>
      </c>
      <c r="E854" t="s">
        <v>895</v>
      </c>
      <c r="F854" s="6">
        <v>45888</v>
      </c>
      <c r="G854">
        <v>72</v>
      </c>
      <c r="H854" s="6">
        <v>48079</v>
      </c>
      <c r="I854" t="s">
        <v>888</v>
      </c>
    </row>
    <row r="855" spans="1:9" x14ac:dyDescent="0.3">
      <c r="A855" t="s">
        <v>1749</v>
      </c>
      <c r="B855" t="s">
        <v>884</v>
      </c>
      <c r="C855" t="s">
        <v>885</v>
      </c>
      <c r="D855" t="s">
        <v>886</v>
      </c>
      <c r="E855" t="s">
        <v>895</v>
      </c>
      <c r="F855" s="6">
        <v>45890</v>
      </c>
      <c r="G855">
        <v>72</v>
      </c>
      <c r="H855" s="6">
        <v>48081</v>
      </c>
      <c r="I855" t="s">
        <v>888</v>
      </c>
    </row>
    <row r="856" spans="1:9" x14ac:dyDescent="0.3">
      <c r="A856" t="s">
        <v>1750</v>
      </c>
      <c r="B856" t="s">
        <v>884</v>
      </c>
      <c r="C856" t="s">
        <v>885</v>
      </c>
      <c r="D856" t="s">
        <v>886</v>
      </c>
      <c r="E856" t="s">
        <v>895</v>
      </c>
      <c r="F856" s="6">
        <v>44431</v>
      </c>
      <c r="G856">
        <v>120</v>
      </c>
      <c r="H856" s="6">
        <v>48083</v>
      </c>
      <c r="I856" t="s">
        <v>888</v>
      </c>
    </row>
    <row r="857" spans="1:9" x14ac:dyDescent="0.3">
      <c r="A857" t="s">
        <v>1751</v>
      </c>
      <c r="B857" t="s">
        <v>884</v>
      </c>
      <c r="C857" t="s">
        <v>885</v>
      </c>
      <c r="D857" t="s">
        <v>886</v>
      </c>
      <c r="E857" t="s">
        <v>895</v>
      </c>
      <c r="F857" s="6">
        <v>44431</v>
      </c>
      <c r="G857">
        <v>120</v>
      </c>
      <c r="H857" s="6">
        <v>48083</v>
      </c>
      <c r="I857" t="s">
        <v>888</v>
      </c>
    </row>
    <row r="858" spans="1:9" x14ac:dyDescent="0.3">
      <c r="A858" t="s">
        <v>1752</v>
      </c>
      <c r="B858" t="s">
        <v>884</v>
      </c>
      <c r="C858" t="s">
        <v>885</v>
      </c>
      <c r="D858" t="s">
        <v>886</v>
      </c>
      <c r="E858" t="s">
        <v>895</v>
      </c>
      <c r="F858" s="6">
        <v>44431</v>
      </c>
      <c r="G858">
        <v>120</v>
      </c>
      <c r="H858" s="6">
        <v>48083</v>
      </c>
      <c r="I858" t="s">
        <v>888</v>
      </c>
    </row>
    <row r="859" spans="1:9" x14ac:dyDescent="0.3">
      <c r="A859" t="s">
        <v>1753</v>
      </c>
      <c r="B859" t="s">
        <v>884</v>
      </c>
      <c r="C859" t="s">
        <v>885</v>
      </c>
      <c r="D859" t="s">
        <v>886</v>
      </c>
      <c r="E859" t="s">
        <v>895</v>
      </c>
      <c r="F859" s="6">
        <v>44431</v>
      </c>
      <c r="G859">
        <v>120</v>
      </c>
      <c r="H859" s="6">
        <v>48083</v>
      </c>
      <c r="I859" t="s">
        <v>888</v>
      </c>
    </row>
    <row r="860" spans="1:9" x14ac:dyDescent="0.3">
      <c r="A860" t="s">
        <v>1754</v>
      </c>
      <c r="B860" t="s">
        <v>884</v>
      </c>
      <c r="C860" t="s">
        <v>885</v>
      </c>
      <c r="D860" t="s">
        <v>886</v>
      </c>
      <c r="E860" t="s">
        <v>895</v>
      </c>
      <c r="F860" s="6">
        <v>44431</v>
      </c>
      <c r="G860">
        <v>120</v>
      </c>
      <c r="H860" s="6">
        <v>48083</v>
      </c>
      <c r="I860" t="s">
        <v>888</v>
      </c>
    </row>
    <row r="861" spans="1:9" x14ac:dyDescent="0.3">
      <c r="A861" t="s">
        <v>1755</v>
      </c>
      <c r="B861" t="s">
        <v>884</v>
      </c>
      <c r="C861" t="s">
        <v>885</v>
      </c>
      <c r="D861" t="s">
        <v>886</v>
      </c>
      <c r="E861" t="s">
        <v>895</v>
      </c>
      <c r="F861" s="6">
        <v>44431</v>
      </c>
      <c r="G861">
        <v>120</v>
      </c>
      <c r="H861" s="6">
        <v>48083</v>
      </c>
      <c r="I861" t="s">
        <v>888</v>
      </c>
    </row>
    <row r="862" spans="1:9" x14ac:dyDescent="0.3">
      <c r="A862" t="s">
        <v>1756</v>
      </c>
      <c r="B862" t="s">
        <v>884</v>
      </c>
      <c r="C862" t="s">
        <v>885</v>
      </c>
      <c r="D862" t="s">
        <v>886</v>
      </c>
      <c r="E862" t="s">
        <v>895</v>
      </c>
      <c r="F862" s="6">
        <v>44431</v>
      </c>
      <c r="G862">
        <v>120</v>
      </c>
      <c r="H862" s="6">
        <v>48083</v>
      </c>
      <c r="I862" t="s">
        <v>888</v>
      </c>
    </row>
    <row r="863" spans="1:9" x14ac:dyDescent="0.3">
      <c r="A863" t="s">
        <v>1757</v>
      </c>
      <c r="B863" t="s">
        <v>884</v>
      </c>
      <c r="C863" t="s">
        <v>885</v>
      </c>
      <c r="D863" t="s">
        <v>886</v>
      </c>
      <c r="E863" t="s">
        <v>895</v>
      </c>
      <c r="F863" s="6">
        <v>44431</v>
      </c>
      <c r="G863">
        <v>120</v>
      </c>
      <c r="H863" s="6">
        <v>48083</v>
      </c>
      <c r="I863" t="s">
        <v>888</v>
      </c>
    </row>
    <row r="864" spans="1:9" x14ac:dyDescent="0.3">
      <c r="A864" t="s">
        <v>1758</v>
      </c>
      <c r="B864" t="s">
        <v>884</v>
      </c>
      <c r="C864" t="s">
        <v>885</v>
      </c>
      <c r="D864" t="s">
        <v>886</v>
      </c>
      <c r="E864" t="s">
        <v>895</v>
      </c>
      <c r="F864" s="6">
        <v>44431</v>
      </c>
      <c r="G864">
        <v>120</v>
      </c>
      <c r="H864" s="6">
        <v>48083</v>
      </c>
      <c r="I864" t="s">
        <v>888</v>
      </c>
    </row>
    <row r="865" spans="1:9" x14ac:dyDescent="0.3">
      <c r="A865" t="s">
        <v>1759</v>
      </c>
      <c r="B865" t="s">
        <v>884</v>
      </c>
      <c r="C865" t="s">
        <v>885</v>
      </c>
      <c r="D865" t="s">
        <v>886</v>
      </c>
      <c r="E865" t="s">
        <v>895</v>
      </c>
      <c r="F865" s="6">
        <v>44433</v>
      </c>
      <c r="G865">
        <v>120</v>
      </c>
      <c r="H865" s="6">
        <v>48085</v>
      </c>
      <c r="I865" t="s">
        <v>888</v>
      </c>
    </row>
    <row r="866" spans="1:9" x14ac:dyDescent="0.3">
      <c r="A866" t="s">
        <v>1760</v>
      </c>
      <c r="B866" t="s">
        <v>884</v>
      </c>
      <c r="C866" t="s">
        <v>885</v>
      </c>
      <c r="D866" t="s">
        <v>886</v>
      </c>
      <c r="E866" t="s">
        <v>895</v>
      </c>
      <c r="F866" s="6">
        <v>44438</v>
      </c>
      <c r="G866">
        <v>120</v>
      </c>
      <c r="H866" s="6">
        <v>48090</v>
      </c>
      <c r="I866" t="s">
        <v>888</v>
      </c>
    </row>
    <row r="867" spans="1:9" x14ac:dyDescent="0.3">
      <c r="A867" t="s">
        <v>1761</v>
      </c>
      <c r="B867" t="s">
        <v>884</v>
      </c>
      <c r="C867" t="s">
        <v>885</v>
      </c>
      <c r="D867" t="s">
        <v>886</v>
      </c>
      <c r="E867" t="s">
        <v>895</v>
      </c>
      <c r="F867" s="6">
        <v>45191</v>
      </c>
      <c r="G867">
        <v>96</v>
      </c>
      <c r="H867" s="6">
        <v>48113</v>
      </c>
      <c r="I867" t="s">
        <v>888</v>
      </c>
    </row>
    <row r="868" spans="1:9" x14ac:dyDescent="0.3">
      <c r="A868" t="s">
        <v>1762</v>
      </c>
      <c r="B868" t="s">
        <v>884</v>
      </c>
      <c r="C868" t="s">
        <v>885</v>
      </c>
      <c r="D868" t="s">
        <v>929</v>
      </c>
      <c r="E868" t="s">
        <v>895</v>
      </c>
      <c r="F868" s="6">
        <v>45233</v>
      </c>
      <c r="G868">
        <v>96</v>
      </c>
      <c r="H868" s="6">
        <v>48155</v>
      </c>
      <c r="I868" t="s">
        <v>888</v>
      </c>
    </row>
    <row r="869" spans="1:9" x14ac:dyDescent="0.3">
      <c r="A869" t="s">
        <v>1763</v>
      </c>
      <c r="B869" t="s">
        <v>884</v>
      </c>
      <c r="C869" t="s">
        <v>885</v>
      </c>
      <c r="D869" t="s">
        <v>891</v>
      </c>
      <c r="E869" t="s">
        <v>895</v>
      </c>
      <c r="F869" s="6">
        <v>44188</v>
      </c>
      <c r="G869">
        <v>132</v>
      </c>
      <c r="H869" s="6">
        <v>48205</v>
      </c>
      <c r="I869" t="s">
        <v>888</v>
      </c>
    </row>
    <row r="870" spans="1:9" x14ac:dyDescent="0.3">
      <c r="A870" t="s">
        <v>1764</v>
      </c>
      <c r="B870" t="s">
        <v>884</v>
      </c>
      <c r="C870" t="s">
        <v>885</v>
      </c>
      <c r="D870" t="s">
        <v>886</v>
      </c>
      <c r="E870" t="s">
        <v>895</v>
      </c>
      <c r="F870" s="6">
        <v>44650</v>
      </c>
      <c r="G870">
        <v>120</v>
      </c>
      <c r="H870" s="6">
        <v>48303</v>
      </c>
      <c r="I870" t="s">
        <v>888</v>
      </c>
    </row>
    <row r="871" spans="1:9" x14ac:dyDescent="0.3">
      <c r="A871" t="s">
        <v>1765</v>
      </c>
      <c r="B871" t="s">
        <v>884</v>
      </c>
      <c r="C871" t="s">
        <v>885</v>
      </c>
      <c r="D871" t="s">
        <v>886</v>
      </c>
      <c r="E871" t="s">
        <v>895</v>
      </c>
      <c r="F871" s="6">
        <v>44650</v>
      </c>
      <c r="G871">
        <v>120</v>
      </c>
      <c r="H871" s="6">
        <v>48303</v>
      </c>
      <c r="I871" t="s">
        <v>888</v>
      </c>
    </row>
    <row r="872" spans="1:9" x14ac:dyDescent="0.3">
      <c r="A872" t="s">
        <v>1766</v>
      </c>
      <c r="B872" t="s">
        <v>884</v>
      </c>
      <c r="C872" t="s">
        <v>885</v>
      </c>
      <c r="D872" t="s">
        <v>886</v>
      </c>
      <c r="E872" t="s">
        <v>895</v>
      </c>
      <c r="F872" s="6">
        <v>44655</v>
      </c>
      <c r="G872">
        <v>120</v>
      </c>
      <c r="H872" s="6">
        <v>48308</v>
      </c>
      <c r="I872" t="s">
        <v>888</v>
      </c>
    </row>
    <row r="873" spans="1:9" x14ac:dyDescent="0.3">
      <c r="A873" t="s">
        <v>1767</v>
      </c>
      <c r="B873" t="s">
        <v>884</v>
      </c>
      <c r="C873" t="s">
        <v>885</v>
      </c>
      <c r="D873" t="s">
        <v>904</v>
      </c>
      <c r="E873" t="s">
        <v>895</v>
      </c>
      <c r="F873" s="6">
        <v>45411</v>
      </c>
      <c r="G873">
        <v>96</v>
      </c>
      <c r="H873" s="6">
        <v>48333</v>
      </c>
      <c r="I873" t="s">
        <v>888</v>
      </c>
    </row>
    <row r="874" spans="1:9" x14ac:dyDescent="0.3">
      <c r="A874" t="s">
        <v>1768</v>
      </c>
      <c r="B874" t="s">
        <v>884</v>
      </c>
      <c r="C874" t="s">
        <v>885</v>
      </c>
      <c r="D874" t="s">
        <v>904</v>
      </c>
      <c r="E874" t="s">
        <v>895</v>
      </c>
      <c r="F874" s="6">
        <v>45428</v>
      </c>
      <c r="G874">
        <v>96</v>
      </c>
      <c r="H874" s="6">
        <v>48350</v>
      </c>
      <c r="I874" t="s">
        <v>888</v>
      </c>
    </row>
    <row r="875" spans="1:9" x14ac:dyDescent="0.3">
      <c r="A875" t="s">
        <v>1769</v>
      </c>
      <c r="B875" t="s">
        <v>884</v>
      </c>
      <c r="C875" t="s">
        <v>885</v>
      </c>
      <c r="D875" t="s">
        <v>937</v>
      </c>
      <c r="E875" t="s">
        <v>895</v>
      </c>
      <c r="F875" s="6">
        <v>44029</v>
      </c>
      <c r="G875">
        <v>144</v>
      </c>
      <c r="H875" s="6">
        <v>48412</v>
      </c>
      <c r="I875" t="s">
        <v>888</v>
      </c>
    </row>
    <row r="876" spans="1:9" x14ac:dyDescent="0.3">
      <c r="A876" t="s">
        <v>1770</v>
      </c>
      <c r="B876" t="s">
        <v>884</v>
      </c>
      <c r="C876" t="s">
        <v>885</v>
      </c>
      <c r="D876" t="s">
        <v>893</v>
      </c>
      <c r="E876" t="s">
        <v>895</v>
      </c>
      <c r="F876" s="6">
        <v>45491</v>
      </c>
      <c r="G876">
        <v>96</v>
      </c>
      <c r="H876" s="6">
        <v>48413</v>
      </c>
      <c r="I876" t="s">
        <v>888</v>
      </c>
    </row>
    <row r="877" spans="1:9" x14ac:dyDescent="0.3">
      <c r="A877" t="s">
        <v>1771</v>
      </c>
      <c r="B877" t="s">
        <v>884</v>
      </c>
      <c r="C877" t="s">
        <v>885</v>
      </c>
      <c r="D877" t="s">
        <v>929</v>
      </c>
      <c r="E877" t="s">
        <v>895</v>
      </c>
      <c r="F877" s="6">
        <v>44145</v>
      </c>
      <c r="G877">
        <v>144</v>
      </c>
      <c r="H877" s="6">
        <v>48528</v>
      </c>
      <c r="I877" t="s">
        <v>888</v>
      </c>
    </row>
    <row r="878" spans="1:9" x14ac:dyDescent="0.3">
      <c r="A878" t="s">
        <v>1772</v>
      </c>
      <c r="B878" t="s">
        <v>884</v>
      </c>
      <c r="C878" t="s">
        <v>885</v>
      </c>
      <c r="D878" t="s">
        <v>929</v>
      </c>
      <c r="E878" t="s">
        <v>895</v>
      </c>
      <c r="F878" s="6">
        <v>44145</v>
      </c>
      <c r="G878">
        <v>144</v>
      </c>
      <c r="H878" s="6">
        <v>48528</v>
      </c>
      <c r="I878" t="s">
        <v>888</v>
      </c>
    </row>
    <row r="879" spans="1:9" x14ac:dyDescent="0.3">
      <c r="A879" t="s">
        <v>1773</v>
      </c>
      <c r="B879" t="s">
        <v>884</v>
      </c>
      <c r="C879" t="s">
        <v>885</v>
      </c>
      <c r="D879" t="s">
        <v>929</v>
      </c>
      <c r="E879" t="s">
        <v>895</v>
      </c>
      <c r="F879" s="6">
        <v>44145</v>
      </c>
      <c r="G879">
        <v>144</v>
      </c>
      <c r="H879" s="6">
        <v>48528</v>
      </c>
      <c r="I879" t="s">
        <v>888</v>
      </c>
    </row>
    <row r="880" spans="1:9" x14ac:dyDescent="0.3">
      <c r="A880" t="s">
        <v>1774</v>
      </c>
      <c r="B880" t="s">
        <v>884</v>
      </c>
      <c r="C880" t="s">
        <v>885</v>
      </c>
      <c r="D880" t="s">
        <v>886</v>
      </c>
      <c r="E880" t="s">
        <v>895</v>
      </c>
      <c r="F880" s="6">
        <v>44155</v>
      </c>
      <c r="G880">
        <v>144</v>
      </c>
      <c r="H880" s="6">
        <v>48538</v>
      </c>
      <c r="I880" t="s">
        <v>888</v>
      </c>
    </row>
    <row r="881" spans="1:9" x14ac:dyDescent="0.3">
      <c r="A881" t="s">
        <v>1775</v>
      </c>
      <c r="B881" t="s">
        <v>884</v>
      </c>
      <c r="C881" t="s">
        <v>885</v>
      </c>
      <c r="D881" t="s">
        <v>937</v>
      </c>
      <c r="E881" t="s">
        <v>895</v>
      </c>
      <c r="F881" s="6">
        <v>44155</v>
      </c>
      <c r="G881">
        <v>144</v>
      </c>
      <c r="H881" s="6">
        <v>48538</v>
      </c>
      <c r="I881" t="s">
        <v>888</v>
      </c>
    </row>
    <row r="882" spans="1:9" x14ac:dyDescent="0.3">
      <c r="A882" t="s">
        <v>1776</v>
      </c>
      <c r="B882" t="s">
        <v>884</v>
      </c>
      <c r="C882" t="s">
        <v>885</v>
      </c>
      <c r="D882" t="s">
        <v>937</v>
      </c>
      <c r="E882" t="s">
        <v>895</v>
      </c>
      <c r="F882" s="6">
        <v>44155</v>
      </c>
      <c r="G882">
        <v>144</v>
      </c>
      <c r="H882" s="6">
        <v>48538</v>
      </c>
      <c r="I882" t="s">
        <v>888</v>
      </c>
    </row>
    <row r="883" spans="1:9" x14ac:dyDescent="0.3">
      <c r="A883" t="s">
        <v>1777</v>
      </c>
      <c r="B883" t="s">
        <v>884</v>
      </c>
      <c r="C883" t="s">
        <v>885</v>
      </c>
      <c r="D883" t="s">
        <v>937</v>
      </c>
      <c r="E883" t="s">
        <v>895</v>
      </c>
      <c r="F883" s="6">
        <v>44155</v>
      </c>
      <c r="G883">
        <v>144</v>
      </c>
      <c r="H883" s="6">
        <v>48538</v>
      </c>
      <c r="I883" t="s">
        <v>888</v>
      </c>
    </row>
    <row r="884" spans="1:9" x14ac:dyDescent="0.3">
      <c r="A884" t="s">
        <v>1778</v>
      </c>
      <c r="B884" t="s">
        <v>884</v>
      </c>
      <c r="C884" t="s">
        <v>885</v>
      </c>
      <c r="D884" t="s">
        <v>937</v>
      </c>
      <c r="E884" t="s">
        <v>895</v>
      </c>
      <c r="F884" s="6">
        <v>44155</v>
      </c>
      <c r="G884">
        <v>144</v>
      </c>
      <c r="H884" s="6">
        <v>48538</v>
      </c>
      <c r="I884" t="s">
        <v>888</v>
      </c>
    </row>
    <row r="885" spans="1:9" x14ac:dyDescent="0.3">
      <c r="A885" t="s">
        <v>1779</v>
      </c>
      <c r="B885" t="s">
        <v>884</v>
      </c>
      <c r="C885" t="s">
        <v>885</v>
      </c>
      <c r="D885" t="s">
        <v>937</v>
      </c>
      <c r="E885" t="s">
        <v>895</v>
      </c>
      <c r="F885" s="6">
        <v>44155</v>
      </c>
      <c r="G885">
        <v>144</v>
      </c>
      <c r="H885" s="6">
        <v>48538</v>
      </c>
      <c r="I885" t="s">
        <v>888</v>
      </c>
    </row>
    <row r="886" spans="1:9" x14ac:dyDescent="0.3">
      <c r="A886" t="s">
        <v>1780</v>
      </c>
      <c r="B886" t="s">
        <v>884</v>
      </c>
      <c r="C886" t="s">
        <v>885</v>
      </c>
      <c r="D886" t="s">
        <v>937</v>
      </c>
      <c r="E886" t="s">
        <v>895</v>
      </c>
      <c r="F886" s="6">
        <v>44155</v>
      </c>
      <c r="G886">
        <v>144</v>
      </c>
      <c r="H886" s="6">
        <v>48538</v>
      </c>
      <c r="I886" t="s">
        <v>888</v>
      </c>
    </row>
    <row r="887" spans="1:9" x14ac:dyDescent="0.3">
      <c r="A887" t="s">
        <v>1781</v>
      </c>
      <c r="B887" t="s">
        <v>884</v>
      </c>
      <c r="C887" t="s">
        <v>885</v>
      </c>
      <c r="D887" t="s">
        <v>893</v>
      </c>
      <c r="E887" t="s">
        <v>895</v>
      </c>
      <c r="F887" s="6">
        <v>44155</v>
      </c>
      <c r="G887">
        <v>144</v>
      </c>
      <c r="H887" s="6">
        <v>48538</v>
      </c>
      <c r="I887" t="s">
        <v>888</v>
      </c>
    </row>
    <row r="888" spans="1:9" x14ac:dyDescent="0.3">
      <c r="A888" t="s">
        <v>1782</v>
      </c>
      <c r="B888" t="s">
        <v>884</v>
      </c>
      <c r="C888" t="s">
        <v>885</v>
      </c>
      <c r="D888" t="s">
        <v>893</v>
      </c>
      <c r="E888" t="s">
        <v>895</v>
      </c>
      <c r="F888" s="6">
        <v>44155</v>
      </c>
      <c r="G888">
        <v>144</v>
      </c>
      <c r="H888" s="6">
        <v>48538</v>
      </c>
      <c r="I888" t="s">
        <v>888</v>
      </c>
    </row>
    <row r="889" spans="1:9" x14ac:dyDescent="0.3">
      <c r="A889" t="s">
        <v>1783</v>
      </c>
      <c r="B889" t="s">
        <v>884</v>
      </c>
      <c r="C889" t="s">
        <v>885</v>
      </c>
      <c r="D889" t="s">
        <v>937</v>
      </c>
      <c r="E889" t="s">
        <v>895</v>
      </c>
      <c r="F889" s="6">
        <v>44155</v>
      </c>
      <c r="G889">
        <v>144</v>
      </c>
      <c r="H889" s="6">
        <v>48538</v>
      </c>
      <c r="I889" t="s">
        <v>888</v>
      </c>
    </row>
    <row r="890" spans="1:9" x14ac:dyDescent="0.3">
      <c r="A890" t="s">
        <v>1784</v>
      </c>
      <c r="B890" t="s">
        <v>884</v>
      </c>
      <c r="C890" t="s">
        <v>885</v>
      </c>
      <c r="D890" t="s">
        <v>937</v>
      </c>
      <c r="E890" t="s">
        <v>895</v>
      </c>
      <c r="F890" s="6">
        <v>44155</v>
      </c>
      <c r="G890">
        <v>144</v>
      </c>
      <c r="H890" s="6">
        <v>48538</v>
      </c>
      <c r="I890" t="s">
        <v>888</v>
      </c>
    </row>
    <row r="891" spans="1:9" x14ac:dyDescent="0.3">
      <c r="A891" t="s">
        <v>1785</v>
      </c>
      <c r="B891" t="s">
        <v>884</v>
      </c>
      <c r="C891" t="s">
        <v>885</v>
      </c>
      <c r="D891" t="s">
        <v>937</v>
      </c>
      <c r="E891" t="s">
        <v>895</v>
      </c>
      <c r="F891" s="6">
        <v>44155</v>
      </c>
      <c r="G891">
        <v>144</v>
      </c>
      <c r="H891" s="6">
        <v>48538</v>
      </c>
      <c r="I891" t="s">
        <v>888</v>
      </c>
    </row>
    <row r="892" spans="1:9" x14ac:dyDescent="0.3">
      <c r="A892" t="s">
        <v>1786</v>
      </c>
      <c r="B892" t="s">
        <v>884</v>
      </c>
      <c r="C892" t="s">
        <v>885</v>
      </c>
      <c r="D892" t="s">
        <v>937</v>
      </c>
      <c r="E892" t="s">
        <v>895</v>
      </c>
      <c r="F892" s="6">
        <v>44155</v>
      </c>
      <c r="G892">
        <v>144</v>
      </c>
      <c r="H892" s="6">
        <v>48538</v>
      </c>
      <c r="I892" t="s">
        <v>888</v>
      </c>
    </row>
    <row r="893" spans="1:9" x14ac:dyDescent="0.3">
      <c r="A893" t="s">
        <v>1787</v>
      </c>
      <c r="B893" t="s">
        <v>884</v>
      </c>
      <c r="C893" t="s">
        <v>885</v>
      </c>
      <c r="D893" t="s">
        <v>893</v>
      </c>
      <c r="E893" t="s">
        <v>895</v>
      </c>
      <c r="F893" s="6">
        <v>44155</v>
      </c>
      <c r="G893">
        <v>144</v>
      </c>
      <c r="H893" s="6">
        <v>48538</v>
      </c>
      <c r="I893" t="s">
        <v>888</v>
      </c>
    </row>
    <row r="894" spans="1:9" x14ac:dyDescent="0.3">
      <c r="A894" t="s">
        <v>1788</v>
      </c>
      <c r="B894" t="s">
        <v>884</v>
      </c>
      <c r="C894" t="s">
        <v>885</v>
      </c>
      <c r="D894" t="s">
        <v>893</v>
      </c>
      <c r="E894" t="s">
        <v>895</v>
      </c>
      <c r="F894" s="6">
        <v>44155</v>
      </c>
      <c r="G894">
        <v>144</v>
      </c>
      <c r="H894" s="6">
        <v>48538</v>
      </c>
      <c r="I894" t="s">
        <v>888</v>
      </c>
    </row>
    <row r="895" spans="1:9" x14ac:dyDescent="0.3">
      <c r="A895" t="s">
        <v>1789</v>
      </c>
      <c r="B895" t="s">
        <v>884</v>
      </c>
      <c r="C895" t="s">
        <v>885</v>
      </c>
      <c r="D895" t="s">
        <v>893</v>
      </c>
      <c r="E895" t="s">
        <v>895</v>
      </c>
      <c r="F895" s="6">
        <v>44155</v>
      </c>
      <c r="G895">
        <v>144</v>
      </c>
      <c r="H895" s="6">
        <v>48538</v>
      </c>
      <c r="I895" t="s">
        <v>888</v>
      </c>
    </row>
    <row r="896" spans="1:9" x14ac:dyDescent="0.3">
      <c r="A896" t="s">
        <v>1790</v>
      </c>
      <c r="B896" t="s">
        <v>884</v>
      </c>
      <c r="C896" t="s">
        <v>885</v>
      </c>
      <c r="D896" t="s">
        <v>937</v>
      </c>
      <c r="E896" t="s">
        <v>895</v>
      </c>
      <c r="F896" s="6">
        <v>44155</v>
      </c>
      <c r="G896">
        <v>144</v>
      </c>
      <c r="H896" s="6">
        <v>48538</v>
      </c>
      <c r="I896" t="s">
        <v>888</v>
      </c>
    </row>
    <row r="897" spans="1:9" x14ac:dyDescent="0.3">
      <c r="A897" t="s">
        <v>1791</v>
      </c>
      <c r="B897" t="s">
        <v>884</v>
      </c>
      <c r="C897" t="s">
        <v>885</v>
      </c>
      <c r="D897" t="s">
        <v>937</v>
      </c>
      <c r="E897" t="s">
        <v>895</v>
      </c>
      <c r="F897" s="6">
        <v>44155</v>
      </c>
      <c r="G897">
        <v>144</v>
      </c>
      <c r="H897" s="6">
        <v>48538</v>
      </c>
      <c r="I897" t="s">
        <v>888</v>
      </c>
    </row>
    <row r="898" spans="1:9" x14ac:dyDescent="0.3">
      <c r="A898" t="s">
        <v>1792</v>
      </c>
      <c r="B898" t="s">
        <v>884</v>
      </c>
      <c r="C898" t="s">
        <v>885</v>
      </c>
      <c r="D898" t="s">
        <v>886</v>
      </c>
      <c r="E898" t="s">
        <v>895</v>
      </c>
      <c r="F898" s="6">
        <v>44155</v>
      </c>
      <c r="G898">
        <v>144</v>
      </c>
      <c r="H898" s="6">
        <v>48538</v>
      </c>
      <c r="I898" t="s">
        <v>888</v>
      </c>
    </row>
    <row r="899" spans="1:9" x14ac:dyDescent="0.3">
      <c r="A899" t="s">
        <v>1793</v>
      </c>
      <c r="B899" t="s">
        <v>884</v>
      </c>
      <c r="C899" t="s">
        <v>885</v>
      </c>
      <c r="D899" t="s">
        <v>886</v>
      </c>
      <c r="E899" t="s">
        <v>895</v>
      </c>
      <c r="F899" s="6">
        <v>44155</v>
      </c>
      <c r="G899">
        <v>144</v>
      </c>
      <c r="H899" s="6">
        <v>48538</v>
      </c>
      <c r="I899" t="s">
        <v>888</v>
      </c>
    </row>
    <row r="900" spans="1:9" x14ac:dyDescent="0.3">
      <c r="A900" t="s">
        <v>1794</v>
      </c>
      <c r="B900" t="s">
        <v>884</v>
      </c>
      <c r="C900" t="s">
        <v>885</v>
      </c>
      <c r="D900" t="s">
        <v>909</v>
      </c>
      <c r="E900" t="s">
        <v>895</v>
      </c>
      <c r="F900" s="6">
        <v>44155</v>
      </c>
      <c r="G900">
        <v>144</v>
      </c>
      <c r="H900" s="6">
        <v>48538</v>
      </c>
      <c r="I900" t="s">
        <v>888</v>
      </c>
    </row>
    <row r="901" spans="1:9" x14ac:dyDescent="0.3">
      <c r="A901" t="s">
        <v>1795</v>
      </c>
      <c r="B901" t="s">
        <v>884</v>
      </c>
      <c r="C901" t="s">
        <v>885</v>
      </c>
      <c r="D901" t="s">
        <v>891</v>
      </c>
      <c r="E901" t="s">
        <v>895</v>
      </c>
      <c r="F901" s="6">
        <v>45869</v>
      </c>
      <c r="G901">
        <v>91</v>
      </c>
      <c r="H901" s="6">
        <v>48613</v>
      </c>
      <c r="I901" t="s">
        <v>888</v>
      </c>
    </row>
    <row r="902" spans="1:9" x14ac:dyDescent="0.3">
      <c r="A902" t="s">
        <v>1796</v>
      </c>
      <c r="B902" t="s">
        <v>884</v>
      </c>
      <c r="C902" t="s">
        <v>885</v>
      </c>
      <c r="D902" t="s">
        <v>891</v>
      </c>
      <c r="E902" t="s">
        <v>895</v>
      </c>
      <c r="F902" s="6">
        <v>45869</v>
      </c>
      <c r="G902">
        <v>91</v>
      </c>
      <c r="H902" s="6">
        <v>48613</v>
      </c>
      <c r="I902" t="s">
        <v>888</v>
      </c>
    </row>
    <row r="903" spans="1:9" x14ac:dyDescent="0.3">
      <c r="A903" t="s">
        <v>1797</v>
      </c>
      <c r="B903" t="s">
        <v>884</v>
      </c>
      <c r="C903" t="s">
        <v>885</v>
      </c>
      <c r="D903" t="s">
        <v>893</v>
      </c>
      <c r="E903" t="s">
        <v>895</v>
      </c>
      <c r="F903" s="6">
        <v>44263</v>
      </c>
      <c r="G903">
        <v>144</v>
      </c>
      <c r="H903" s="6">
        <v>48646</v>
      </c>
      <c r="I903" t="s">
        <v>888</v>
      </c>
    </row>
    <row r="904" spans="1:9" x14ac:dyDescent="0.3">
      <c r="A904" t="s">
        <v>1798</v>
      </c>
      <c r="B904" t="s">
        <v>884</v>
      </c>
      <c r="C904" t="s">
        <v>885</v>
      </c>
      <c r="D904" t="s">
        <v>893</v>
      </c>
      <c r="E904" t="s">
        <v>895</v>
      </c>
      <c r="F904" s="6">
        <v>44263</v>
      </c>
      <c r="G904">
        <v>144</v>
      </c>
      <c r="H904" s="6">
        <v>48646</v>
      </c>
      <c r="I904" t="s">
        <v>888</v>
      </c>
    </row>
    <row r="905" spans="1:9" x14ac:dyDescent="0.3">
      <c r="A905" t="s">
        <v>1799</v>
      </c>
      <c r="B905" t="s">
        <v>884</v>
      </c>
      <c r="C905" t="s">
        <v>885</v>
      </c>
      <c r="D905" t="s">
        <v>929</v>
      </c>
      <c r="E905" t="s">
        <v>895</v>
      </c>
      <c r="F905" s="6">
        <v>45013</v>
      </c>
      <c r="G905">
        <v>120</v>
      </c>
      <c r="H905" s="6">
        <v>48666</v>
      </c>
      <c r="I905" t="s">
        <v>888</v>
      </c>
    </row>
    <row r="906" spans="1:9" x14ac:dyDescent="0.3">
      <c r="A906" t="s">
        <v>1800</v>
      </c>
      <c r="B906" t="s">
        <v>884</v>
      </c>
      <c r="C906" t="s">
        <v>885</v>
      </c>
      <c r="D906" t="s">
        <v>929</v>
      </c>
      <c r="E906" t="s">
        <v>895</v>
      </c>
      <c r="F906" s="6">
        <v>45013</v>
      </c>
      <c r="G906">
        <v>120</v>
      </c>
      <c r="H906" s="6">
        <v>48666</v>
      </c>
      <c r="I906" t="s">
        <v>888</v>
      </c>
    </row>
    <row r="907" spans="1:9" x14ac:dyDescent="0.3">
      <c r="A907" t="s">
        <v>1801</v>
      </c>
      <c r="B907" t="s">
        <v>884</v>
      </c>
      <c r="C907" t="s">
        <v>885</v>
      </c>
      <c r="D907" t="s">
        <v>891</v>
      </c>
      <c r="E907" t="s">
        <v>895</v>
      </c>
      <c r="F907" s="6">
        <v>45867</v>
      </c>
      <c r="G907">
        <v>93</v>
      </c>
      <c r="H907" s="6">
        <v>48672</v>
      </c>
      <c r="I907" t="s">
        <v>888</v>
      </c>
    </row>
    <row r="908" spans="1:9" x14ac:dyDescent="0.3">
      <c r="A908" t="s">
        <v>1802</v>
      </c>
      <c r="B908" t="s">
        <v>884</v>
      </c>
      <c r="C908" t="s">
        <v>885</v>
      </c>
      <c r="D908" t="s">
        <v>891</v>
      </c>
      <c r="E908" t="s">
        <v>895</v>
      </c>
      <c r="F908" s="6">
        <v>45867</v>
      </c>
      <c r="G908">
        <v>93</v>
      </c>
      <c r="H908" s="6">
        <v>48672</v>
      </c>
      <c r="I908" t="s">
        <v>888</v>
      </c>
    </row>
    <row r="909" spans="1:9" x14ac:dyDescent="0.3">
      <c r="A909" t="s">
        <v>1803</v>
      </c>
      <c r="B909" t="s">
        <v>884</v>
      </c>
      <c r="C909" t="s">
        <v>885</v>
      </c>
      <c r="D909" t="s">
        <v>891</v>
      </c>
      <c r="E909" t="s">
        <v>895</v>
      </c>
      <c r="F909" s="6">
        <v>45867</v>
      </c>
      <c r="G909">
        <v>93</v>
      </c>
      <c r="H909" s="6">
        <v>48672</v>
      </c>
      <c r="I909" t="s">
        <v>888</v>
      </c>
    </row>
    <row r="910" spans="1:9" x14ac:dyDescent="0.3">
      <c r="A910" t="s">
        <v>1804</v>
      </c>
      <c r="B910" t="s">
        <v>884</v>
      </c>
      <c r="C910" t="s">
        <v>885</v>
      </c>
      <c r="D910" t="s">
        <v>891</v>
      </c>
      <c r="E910" t="s">
        <v>895</v>
      </c>
      <c r="F910" s="6">
        <v>45867</v>
      </c>
      <c r="G910">
        <v>93</v>
      </c>
      <c r="H910" s="6">
        <v>48672</v>
      </c>
      <c r="I910" t="s">
        <v>888</v>
      </c>
    </row>
    <row r="911" spans="1:9" x14ac:dyDescent="0.3">
      <c r="A911" t="s">
        <v>1805</v>
      </c>
      <c r="B911" t="s">
        <v>884</v>
      </c>
      <c r="C911" t="s">
        <v>885</v>
      </c>
      <c r="D911" t="s">
        <v>891</v>
      </c>
      <c r="E911" t="s">
        <v>895</v>
      </c>
      <c r="F911" s="6">
        <v>45867</v>
      </c>
      <c r="G911">
        <v>93</v>
      </c>
      <c r="H911" s="6">
        <v>48672</v>
      </c>
      <c r="I911" t="s">
        <v>888</v>
      </c>
    </row>
    <row r="912" spans="1:9" x14ac:dyDescent="0.3">
      <c r="A912" t="s">
        <v>1806</v>
      </c>
      <c r="B912" t="s">
        <v>884</v>
      </c>
      <c r="C912" t="s">
        <v>885</v>
      </c>
      <c r="D912" t="s">
        <v>886</v>
      </c>
      <c r="E912" t="s">
        <v>895</v>
      </c>
      <c r="F912" s="6">
        <v>44335</v>
      </c>
      <c r="G912">
        <v>144</v>
      </c>
      <c r="H912" s="6">
        <v>48718</v>
      </c>
      <c r="I912" t="s">
        <v>888</v>
      </c>
    </row>
    <row r="913" spans="1:9" x14ac:dyDescent="0.3">
      <c r="A913" t="s">
        <v>1807</v>
      </c>
      <c r="B913" t="s">
        <v>884</v>
      </c>
      <c r="C913" t="s">
        <v>885</v>
      </c>
      <c r="D913" t="s">
        <v>886</v>
      </c>
      <c r="E913" t="s">
        <v>895</v>
      </c>
      <c r="F913" s="6">
        <v>44335</v>
      </c>
      <c r="G913">
        <v>144</v>
      </c>
      <c r="H913" s="6">
        <v>48718</v>
      </c>
      <c r="I913" t="s">
        <v>888</v>
      </c>
    </row>
    <row r="914" spans="1:9" x14ac:dyDescent="0.3">
      <c r="A914" t="s">
        <v>1808</v>
      </c>
      <c r="B914" t="s">
        <v>884</v>
      </c>
      <c r="C914" t="s">
        <v>885</v>
      </c>
      <c r="D914" t="s">
        <v>891</v>
      </c>
      <c r="E914" t="s">
        <v>895</v>
      </c>
      <c r="F914" s="6">
        <v>44351</v>
      </c>
      <c r="G914">
        <v>144</v>
      </c>
      <c r="H914" s="6">
        <v>48734</v>
      </c>
      <c r="I914" t="s">
        <v>888</v>
      </c>
    </row>
    <row r="915" spans="1:9" x14ac:dyDescent="0.3">
      <c r="A915" t="s">
        <v>1809</v>
      </c>
      <c r="B915" t="s">
        <v>884</v>
      </c>
      <c r="C915" t="s">
        <v>885</v>
      </c>
      <c r="D915" t="s">
        <v>886</v>
      </c>
      <c r="E915" t="s">
        <v>895</v>
      </c>
      <c r="F915" s="6">
        <v>44379</v>
      </c>
      <c r="G915">
        <v>144</v>
      </c>
      <c r="H915" s="6">
        <v>48762</v>
      </c>
      <c r="I915" t="s">
        <v>888</v>
      </c>
    </row>
    <row r="916" spans="1:9" x14ac:dyDescent="0.3">
      <c r="A916" t="s">
        <v>1810</v>
      </c>
      <c r="B916" t="s">
        <v>884</v>
      </c>
      <c r="C916" t="s">
        <v>885</v>
      </c>
      <c r="D916" t="s">
        <v>886</v>
      </c>
      <c r="E916" t="s">
        <v>895</v>
      </c>
      <c r="F916" s="6">
        <v>44379</v>
      </c>
      <c r="G916">
        <v>144</v>
      </c>
      <c r="H916" s="6">
        <v>48762</v>
      </c>
      <c r="I916" t="s">
        <v>888</v>
      </c>
    </row>
    <row r="917" spans="1:9" x14ac:dyDescent="0.3">
      <c r="A917" t="s">
        <v>1811</v>
      </c>
      <c r="B917" t="s">
        <v>884</v>
      </c>
      <c r="C917" t="s">
        <v>885</v>
      </c>
      <c r="D917" t="s">
        <v>937</v>
      </c>
      <c r="E917" t="s">
        <v>895</v>
      </c>
      <c r="F917" s="6">
        <v>43788</v>
      </c>
      <c r="G917">
        <v>168</v>
      </c>
      <c r="H917" s="6">
        <v>48902</v>
      </c>
      <c r="I917" t="s">
        <v>888</v>
      </c>
    </row>
    <row r="918" spans="1:9" x14ac:dyDescent="0.3">
      <c r="A918" t="s">
        <v>1812</v>
      </c>
      <c r="B918" t="s">
        <v>884</v>
      </c>
      <c r="C918" t="s">
        <v>885</v>
      </c>
      <c r="D918" t="s">
        <v>904</v>
      </c>
      <c r="E918" t="s">
        <v>895</v>
      </c>
      <c r="F918" s="6">
        <v>45428</v>
      </c>
      <c r="G918">
        <v>120</v>
      </c>
      <c r="H918" s="6">
        <v>49080</v>
      </c>
      <c r="I918" t="s">
        <v>888</v>
      </c>
    </row>
    <row r="919" spans="1:9" x14ac:dyDescent="0.3">
      <c r="A919" t="s">
        <v>1813</v>
      </c>
      <c r="B919" t="s">
        <v>884</v>
      </c>
      <c r="C919" t="s">
        <v>885</v>
      </c>
      <c r="D919" t="s">
        <v>886</v>
      </c>
      <c r="E919" t="s">
        <v>895</v>
      </c>
      <c r="F919" s="6">
        <v>45487</v>
      </c>
      <c r="G919">
        <v>120</v>
      </c>
      <c r="H919" s="6">
        <v>49139</v>
      </c>
      <c r="I919" t="s">
        <v>888</v>
      </c>
    </row>
    <row r="920" spans="1:9" x14ac:dyDescent="0.3">
      <c r="A920" t="s">
        <v>1814</v>
      </c>
      <c r="B920" t="s">
        <v>884</v>
      </c>
      <c r="C920" t="s">
        <v>885</v>
      </c>
      <c r="D920" t="s">
        <v>886</v>
      </c>
      <c r="E920" t="s">
        <v>895</v>
      </c>
      <c r="F920" s="6">
        <v>45487</v>
      </c>
      <c r="G920">
        <v>120</v>
      </c>
      <c r="H920" s="6">
        <v>49139</v>
      </c>
      <c r="I920" t="s">
        <v>888</v>
      </c>
    </row>
    <row r="921" spans="1:9" x14ac:dyDescent="0.3">
      <c r="A921" t="s">
        <v>1815</v>
      </c>
      <c r="B921" t="s">
        <v>884</v>
      </c>
      <c r="C921" t="s">
        <v>885</v>
      </c>
      <c r="D921" t="s">
        <v>937</v>
      </c>
      <c r="E921" t="s">
        <v>895</v>
      </c>
      <c r="F921" s="6">
        <v>44155</v>
      </c>
      <c r="G921">
        <v>168</v>
      </c>
      <c r="H921" s="6">
        <v>49268</v>
      </c>
      <c r="I921" t="s">
        <v>888</v>
      </c>
    </row>
    <row r="922" spans="1:9" x14ac:dyDescent="0.3">
      <c r="A922" t="s">
        <v>1816</v>
      </c>
      <c r="B922" t="s">
        <v>884</v>
      </c>
      <c r="C922" t="s">
        <v>885</v>
      </c>
      <c r="D922" t="s">
        <v>891</v>
      </c>
      <c r="E922" t="s">
        <v>895</v>
      </c>
      <c r="F922" s="6">
        <v>45617</v>
      </c>
      <c r="G922">
        <v>120</v>
      </c>
      <c r="H922" s="6">
        <v>49269</v>
      </c>
      <c r="I922" t="s">
        <v>888</v>
      </c>
    </row>
    <row r="923" spans="1:9" x14ac:dyDescent="0.3">
      <c r="A923" t="s">
        <v>1817</v>
      </c>
      <c r="B923" t="s">
        <v>884</v>
      </c>
      <c r="C923" t="s">
        <v>885</v>
      </c>
      <c r="D923" t="s">
        <v>891</v>
      </c>
      <c r="E923" t="s">
        <v>895</v>
      </c>
      <c r="F923" s="6">
        <v>45617</v>
      </c>
      <c r="G923">
        <v>120</v>
      </c>
      <c r="H923" s="6">
        <v>49269</v>
      </c>
      <c r="I923" t="s">
        <v>888</v>
      </c>
    </row>
    <row r="924" spans="1:9" x14ac:dyDescent="0.3">
      <c r="A924" t="s">
        <v>1818</v>
      </c>
      <c r="B924" t="s">
        <v>884</v>
      </c>
      <c r="C924" t="s">
        <v>885</v>
      </c>
      <c r="D924" t="s">
        <v>891</v>
      </c>
      <c r="E924" t="s">
        <v>895</v>
      </c>
      <c r="F924" s="6">
        <v>44188</v>
      </c>
      <c r="G924">
        <v>168</v>
      </c>
      <c r="H924" s="6">
        <v>49301</v>
      </c>
      <c r="I924" t="s">
        <v>888</v>
      </c>
    </row>
    <row r="925" spans="1:9" x14ac:dyDescent="0.3">
      <c r="A925" t="s">
        <v>1819</v>
      </c>
      <c r="B925" t="s">
        <v>884</v>
      </c>
      <c r="C925" t="s">
        <v>885</v>
      </c>
      <c r="D925" t="s">
        <v>909</v>
      </c>
      <c r="E925" t="s">
        <v>895</v>
      </c>
      <c r="F925" s="6">
        <v>45656</v>
      </c>
      <c r="G925">
        <v>120</v>
      </c>
      <c r="H925" s="6">
        <v>49308</v>
      </c>
      <c r="I925" t="s">
        <v>888</v>
      </c>
    </row>
    <row r="926" spans="1:9" x14ac:dyDescent="0.3">
      <c r="A926" t="s">
        <v>1820</v>
      </c>
      <c r="B926" t="s">
        <v>884</v>
      </c>
      <c r="C926" t="s">
        <v>885</v>
      </c>
      <c r="D926" t="s">
        <v>886</v>
      </c>
      <c r="E926" t="s">
        <v>895</v>
      </c>
      <c r="F926" s="6">
        <v>45716</v>
      </c>
      <c r="G926">
        <v>120</v>
      </c>
      <c r="H926" s="6">
        <v>49368</v>
      </c>
      <c r="I926" t="s">
        <v>888</v>
      </c>
    </row>
    <row r="927" spans="1:9" x14ac:dyDescent="0.3">
      <c r="A927" t="s">
        <v>1821</v>
      </c>
      <c r="B927" t="s">
        <v>884</v>
      </c>
      <c r="C927" t="s">
        <v>885</v>
      </c>
      <c r="D927" t="s">
        <v>886</v>
      </c>
      <c r="E927" t="s">
        <v>895</v>
      </c>
      <c r="F927" s="6">
        <v>45798</v>
      </c>
      <c r="G927">
        <v>120</v>
      </c>
      <c r="H927" s="6">
        <v>49450</v>
      </c>
      <c r="I927" t="s">
        <v>888</v>
      </c>
    </row>
    <row r="928" spans="1:9" x14ac:dyDescent="0.3">
      <c r="A928" t="s">
        <v>1822</v>
      </c>
      <c r="B928" t="s">
        <v>884</v>
      </c>
      <c r="C928" t="s">
        <v>885</v>
      </c>
      <c r="D928" t="s">
        <v>909</v>
      </c>
      <c r="E928" t="s">
        <v>895</v>
      </c>
      <c r="F928" s="6">
        <v>44421</v>
      </c>
      <c r="G928">
        <v>168</v>
      </c>
      <c r="H928" s="6">
        <v>49534</v>
      </c>
      <c r="I928" t="s">
        <v>888</v>
      </c>
    </row>
    <row r="929" spans="1:9" x14ac:dyDescent="0.3">
      <c r="A929" t="s">
        <v>1823</v>
      </c>
      <c r="B929" t="s">
        <v>884</v>
      </c>
      <c r="C929" t="s">
        <v>885</v>
      </c>
      <c r="D929" t="s">
        <v>886</v>
      </c>
      <c r="E929" t="s">
        <v>895</v>
      </c>
      <c r="F929" s="6">
        <v>45807</v>
      </c>
      <c r="G929">
        <v>144</v>
      </c>
      <c r="H929" s="6">
        <v>50190</v>
      </c>
      <c r="I929" t="s">
        <v>888</v>
      </c>
    </row>
    <row r="930" spans="1:9" x14ac:dyDescent="0.3">
      <c r="A930" t="s">
        <v>1824</v>
      </c>
      <c r="B930" t="s">
        <v>884</v>
      </c>
      <c r="C930" t="s">
        <v>885</v>
      </c>
      <c r="D930" t="s">
        <v>937</v>
      </c>
      <c r="E930" t="s">
        <v>895</v>
      </c>
      <c r="F930" s="6">
        <v>45128</v>
      </c>
      <c r="G930">
        <v>168</v>
      </c>
      <c r="H930" s="6">
        <v>50242</v>
      </c>
      <c r="I930" t="s">
        <v>888</v>
      </c>
    </row>
    <row r="931" spans="1:9" x14ac:dyDescent="0.3">
      <c r="A931" t="s">
        <v>1825</v>
      </c>
      <c r="B931" t="s">
        <v>884</v>
      </c>
      <c r="C931" t="s">
        <v>885</v>
      </c>
      <c r="D931" t="s">
        <v>937</v>
      </c>
      <c r="E931" t="s">
        <v>895</v>
      </c>
      <c r="F931" s="6">
        <v>45367</v>
      </c>
      <c r="G931">
        <v>168</v>
      </c>
      <c r="H931" s="6">
        <v>50480</v>
      </c>
      <c r="I931" t="s">
        <v>888</v>
      </c>
    </row>
    <row r="932" spans="1:9" x14ac:dyDescent="0.3">
      <c r="A932" t="s">
        <v>1826</v>
      </c>
      <c r="B932" t="s">
        <v>884</v>
      </c>
      <c r="C932" t="s">
        <v>885</v>
      </c>
      <c r="D932" t="s">
        <v>886</v>
      </c>
      <c r="E932" t="s">
        <v>895</v>
      </c>
      <c r="F932" s="6">
        <v>44690</v>
      </c>
      <c r="G932">
        <v>192</v>
      </c>
      <c r="H932" s="6">
        <v>50534</v>
      </c>
      <c r="I932" t="s">
        <v>888</v>
      </c>
    </row>
    <row r="933" spans="1:9" x14ac:dyDescent="0.3">
      <c r="A933" t="s">
        <v>1827</v>
      </c>
      <c r="B933" t="s">
        <v>884</v>
      </c>
      <c r="C933" t="s">
        <v>885</v>
      </c>
      <c r="D933" t="s">
        <v>886</v>
      </c>
      <c r="E933" t="s">
        <v>895</v>
      </c>
      <c r="F933" s="6">
        <v>44690</v>
      </c>
      <c r="G933">
        <v>192</v>
      </c>
      <c r="H933" s="6">
        <v>50534</v>
      </c>
      <c r="I933" t="s">
        <v>888</v>
      </c>
    </row>
    <row r="934" spans="1:9" x14ac:dyDescent="0.3">
      <c r="A934" t="s">
        <v>1828</v>
      </c>
      <c r="B934" t="s">
        <v>884</v>
      </c>
      <c r="C934" t="s">
        <v>885</v>
      </c>
      <c r="D934" t="s">
        <v>886</v>
      </c>
      <c r="E934" t="s">
        <v>895</v>
      </c>
      <c r="F934" s="6">
        <v>44798</v>
      </c>
      <c r="G934">
        <v>192</v>
      </c>
      <c r="H934" s="6">
        <v>50642</v>
      </c>
      <c r="I934" t="s">
        <v>888</v>
      </c>
    </row>
    <row r="935" spans="1:9" x14ac:dyDescent="0.3">
      <c r="A935" t="s">
        <v>1829</v>
      </c>
      <c r="B935" t="s">
        <v>884</v>
      </c>
      <c r="C935" t="s">
        <v>885</v>
      </c>
      <c r="D935" t="s">
        <v>937</v>
      </c>
      <c r="E935" t="s">
        <v>1129</v>
      </c>
      <c r="F935" s="6">
        <v>44155</v>
      </c>
      <c r="H935" s="6"/>
      <c r="I935" t="s">
        <v>888</v>
      </c>
    </row>
    <row r="936" spans="1:9" x14ac:dyDescent="0.3">
      <c r="A936" t="s">
        <v>1830</v>
      </c>
      <c r="B936" t="s">
        <v>884</v>
      </c>
      <c r="C936" t="s">
        <v>885</v>
      </c>
      <c r="D936" t="s">
        <v>886</v>
      </c>
      <c r="E936" t="s">
        <v>895</v>
      </c>
      <c r="F936" s="6">
        <v>45597</v>
      </c>
      <c r="H936" s="6"/>
      <c r="I936" t="s">
        <v>888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C868-DF17-43B5-A320-62F413DBF794}">
  <sheetPr codeName="Planilha15">
    <tabColor theme="1"/>
  </sheetPr>
  <dimension ref="A1:L97"/>
  <sheetViews>
    <sheetView workbookViewId="0">
      <selection activeCell="E2" sqref="E2:E97"/>
    </sheetView>
  </sheetViews>
  <sheetFormatPr defaultRowHeight="14.4" x14ac:dyDescent="0.3"/>
  <cols>
    <col min="1" max="1" width="7.44140625" bestFit="1" customWidth="1"/>
    <col min="2" max="2" width="22.21875" bestFit="1" customWidth="1"/>
    <col min="3" max="3" width="14.88671875" bestFit="1" customWidth="1"/>
    <col min="4" max="4" width="7.21875" bestFit="1" customWidth="1"/>
    <col min="5" max="5" width="9" bestFit="1" customWidth="1"/>
    <col min="6" max="6" width="42.6640625" bestFit="1" customWidth="1"/>
    <col min="7" max="7" width="13.109375" bestFit="1" customWidth="1"/>
    <col min="8" max="9" width="18" bestFit="1" customWidth="1"/>
    <col min="10" max="10" width="17.33203125" bestFit="1" customWidth="1"/>
    <col min="11" max="11" width="11.6640625" bestFit="1" customWidth="1"/>
    <col min="12" max="12" width="11" bestFit="1" customWidth="1"/>
  </cols>
  <sheetData>
    <row r="1" spans="1:12" x14ac:dyDescent="0.3">
      <c r="A1" t="s">
        <v>139</v>
      </c>
      <c r="B1" t="s">
        <v>142</v>
      </c>
      <c r="C1" t="s">
        <v>291</v>
      </c>
      <c r="D1" t="s">
        <v>144</v>
      </c>
      <c r="E1" t="s">
        <v>292</v>
      </c>
      <c r="F1" t="s">
        <v>293</v>
      </c>
      <c r="G1" t="s">
        <v>294</v>
      </c>
      <c r="H1" t="s">
        <v>152</v>
      </c>
      <c r="I1" t="s">
        <v>295</v>
      </c>
      <c r="J1" t="s">
        <v>296</v>
      </c>
      <c r="K1" t="s">
        <v>297</v>
      </c>
      <c r="L1" t="s">
        <v>298</v>
      </c>
    </row>
    <row r="2" spans="1:12" x14ac:dyDescent="0.3">
      <c r="A2" t="s">
        <v>299</v>
      </c>
      <c r="B2" t="s">
        <v>240</v>
      </c>
      <c r="C2" t="s">
        <v>204</v>
      </c>
      <c r="D2" t="s">
        <v>156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  <c r="J2" t="s">
        <v>305</v>
      </c>
      <c r="K2" t="s">
        <v>306</v>
      </c>
      <c r="L2" t="s">
        <v>307</v>
      </c>
    </row>
    <row r="3" spans="1:12" x14ac:dyDescent="0.3">
      <c r="A3" t="s">
        <v>308</v>
      </c>
      <c r="B3" t="s">
        <v>240</v>
      </c>
      <c r="C3" t="s">
        <v>309</v>
      </c>
      <c r="D3" t="s">
        <v>156</v>
      </c>
      <c r="E3" t="s">
        <v>310</v>
      </c>
      <c r="F3" t="s">
        <v>311</v>
      </c>
      <c r="G3" t="s">
        <v>312</v>
      </c>
      <c r="H3" t="s">
        <v>313</v>
      </c>
      <c r="I3" t="s">
        <v>314</v>
      </c>
      <c r="J3" t="s">
        <v>315</v>
      </c>
      <c r="K3" t="s">
        <v>316</v>
      </c>
      <c r="L3" t="s">
        <v>317</v>
      </c>
    </row>
    <row r="4" spans="1:12" x14ac:dyDescent="0.3">
      <c r="A4" t="s">
        <v>318</v>
      </c>
      <c r="B4" t="s">
        <v>240</v>
      </c>
      <c r="C4" t="s">
        <v>204</v>
      </c>
      <c r="D4" t="s">
        <v>156</v>
      </c>
      <c r="E4" t="s">
        <v>319</v>
      </c>
      <c r="F4" t="s">
        <v>320</v>
      </c>
      <c r="G4" t="s">
        <v>321</v>
      </c>
      <c r="H4" t="s">
        <v>161</v>
      </c>
      <c r="I4" t="s">
        <v>322</v>
      </c>
      <c r="J4" t="s">
        <v>323</v>
      </c>
      <c r="K4" t="s">
        <v>306</v>
      </c>
      <c r="L4" t="s">
        <v>324</v>
      </c>
    </row>
    <row r="5" spans="1:12" x14ac:dyDescent="0.3">
      <c r="A5" t="s">
        <v>325</v>
      </c>
      <c r="B5" t="s">
        <v>240</v>
      </c>
      <c r="C5" t="s">
        <v>204</v>
      </c>
      <c r="D5" t="s">
        <v>156</v>
      </c>
      <c r="E5" t="s">
        <v>326</v>
      </c>
      <c r="F5" t="s">
        <v>327</v>
      </c>
      <c r="G5" t="s">
        <v>328</v>
      </c>
      <c r="H5" t="s">
        <v>329</v>
      </c>
      <c r="I5" t="s">
        <v>330</v>
      </c>
      <c r="J5" t="s">
        <v>161</v>
      </c>
      <c r="K5" t="s">
        <v>331</v>
      </c>
      <c r="L5" t="s">
        <v>332</v>
      </c>
    </row>
    <row r="6" spans="1:12" x14ac:dyDescent="0.3">
      <c r="A6" t="s">
        <v>333</v>
      </c>
      <c r="B6" t="s">
        <v>240</v>
      </c>
      <c r="C6" t="s">
        <v>204</v>
      </c>
      <c r="D6" t="s">
        <v>156</v>
      </c>
      <c r="E6" t="s">
        <v>334</v>
      </c>
      <c r="F6" t="s">
        <v>335</v>
      </c>
      <c r="G6" t="s">
        <v>336</v>
      </c>
      <c r="H6" t="s">
        <v>161</v>
      </c>
      <c r="I6" t="s">
        <v>337</v>
      </c>
      <c r="J6" t="s">
        <v>315</v>
      </c>
      <c r="K6" t="s">
        <v>331</v>
      </c>
      <c r="L6" t="s">
        <v>338</v>
      </c>
    </row>
    <row r="7" spans="1:12" x14ac:dyDescent="0.3">
      <c r="A7" t="s">
        <v>339</v>
      </c>
      <c r="B7" t="s">
        <v>240</v>
      </c>
      <c r="C7" t="s">
        <v>204</v>
      </c>
      <c r="D7" t="s">
        <v>156</v>
      </c>
      <c r="E7" t="s">
        <v>340</v>
      </c>
      <c r="F7" t="s">
        <v>341</v>
      </c>
      <c r="G7" t="s">
        <v>342</v>
      </c>
      <c r="H7" t="s">
        <v>343</v>
      </c>
      <c r="I7" t="s">
        <v>344</v>
      </c>
      <c r="J7" t="s">
        <v>305</v>
      </c>
      <c r="K7" t="s">
        <v>316</v>
      </c>
      <c r="L7" t="s">
        <v>345</v>
      </c>
    </row>
    <row r="8" spans="1:12" x14ac:dyDescent="0.3">
      <c r="A8" t="s">
        <v>346</v>
      </c>
      <c r="B8" t="s">
        <v>240</v>
      </c>
      <c r="C8" t="s">
        <v>155</v>
      </c>
      <c r="D8" t="s">
        <v>156</v>
      </c>
      <c r="E8" t="s">
        <v>347</v>
      </c>
      <c r="F8" t="s">
        <v>348</v>
      </c>
      <c r="G8" t="s">
        <v>349</v>
      </c>
      <c r="H8" t="s">
        <v>161</v>
      </c>
      <c r="I8" t="s">
        <v>350</v>
      </c>
      <c r="J8" t="s">
        <v>315</v>
      </c>
      <c r="K8" t="s">
        <v>316</v>
      </c>
      <c r="L8" t="s">
        <v>351</v>
      </c>
    </row>
    <row r="9" spans="1:12" x14ac:dyDescent="0.3">
      <c r="A9" t="s">
        <v>352</v>
      </c>
      <c r="B9" t="s">
        <v>232</v>
      </c>
      <c r="C9" t="s">
        <v>241</v>
      </c>
      <c r="D9" t="s">
        <v>156</v>
      </c>
      <c r="E9" t="s">
        <v>353</v>
      </c>
      <c r="F9" t="s">
        <v>354</v>
      </c>
      <c r="G9" t="s">
        <v>355</v>
      </c>
      <c r="H9" t="s">
        <v>161</v>
      </c>
      <c r="I9" t="s">
        <v>322</v>
      </c>
      <c r="J9" t="s">
        <v>356</v>
      </c>
      <c r="K9" t="s">
        <v>331</v>
      </c>
      <c r="L9" t="s">
        <v>357</v>
      </c>
    </row>
    <row r="10" spans="1:12" x14ac:dyDescent="0.3">
      <c r="A10" t="s">
        <v>358</v>
      </c>
      <c r="B10" t="s">
        <v>240</v>
      </c>
      <c r="C10" t="s">
        <v>155</v>
      </c>
      <c r="D10" t="s">
        <v>156</v>
      </c>
      <c r="E10" t="s">
        <v>359</v>
      </c>
      <c r="F10" t="s">
        <v>360</v>
      </c>
      <c r="G10" t="s">
        <v>361</v>
      </c>
      <c r="H10" t="s">
        <v>161</v>
      </c>
      <c r="I10" t="s">
        <v>362</v>
      </c>
      <c r="J10" t="s">
        <v>305</v>
      </c>
      <c r="K10" t="s">
        <v>316</v>
      </c>
      <c r="L10" t="s">
        <v>363</v>
      </c>
    </row>
    <row r="11" spans="1:12" x14ac:dyDescent="0.3">
      <c r="A11" t="s">
        <v>364</v>
      </c>
      <c r="B11" t="s">
        <v>232</v>
      </c>
      <c r="C11" t="s">
        <v>155</v>
      </c>
      <c r="D11" t="s">
        <v>156</v>
      </c>
      <c r="E11" t="s">
        <v>365</v>
      </c>
      <c r="F11" t="s">
        <v>366</v>
      </c>
      <c r="G11" t="s">
        <v>367</v>
      </c>
      <c r="H11" t="s">
        <v>161</v>
      </c>
      <c r="I11" t="s">
        <v>368</v>
      </c>
      <c r="J11" t="s">
        <v>356</v>
      </c>
      <c r="K11" t="s">
        <v>331</v>
      </c>
      <c r="L11" t="s">
        <v>369</v>
      </c>
    </row>
    <row r="12" spans="1:12" x14ac:dyDescent="0.3">
      <c r="A12" t="s">
        <v>370</v>
      </c>
      <c r="B12" t="s">
        <v>371</v>
      </c>
      <c r="C12" t="s">
        <v>204</v>
      </c>
      <c r="D12" t="s">
        <v>372</v>
      </c>
      <c r="E12" t="s">
        <v>373</v>
      </c>
      <c r="F12" t="s">
        <v>374</v>
      </c>
      <c r="G12" t="s">
        <v>161</v>
      </c>
      <c r="H12" t="s">
        <v>161</v>
      </c>
      <c r="I12" t="s">
        <v>375</v>
      </c>
      <c r="J12" t="s">
        <v>161</v>
      </c>
      <c r="K12" t="s">
        <v>316</v>
      </c>
      <c r="L12" t="s">
        <v>376</v>
      </c>
    </row>
    <row r="13" spans="1:12" x14ac:dyDescent="0.3">
      <c r="A13" t="s">
        <v>377</v>
      </c>
      <c r="B13" t="s">
        <v>378</v>
      </c>
      <c r="C13" t="s">
        <v>204</v>
      </c>
      <c r="D13" t="s">
        <v>156</v>
      </c>
      <c r="E13" t="s">
        <v>379</v>
      </c>
      <c r="F13" t="s">
        <v>380</v>
      </c>
      <c r="G13" t="s">
        <v>381</v>
      </c>
      <c r="H13" t="s">
        <v>161</v>
      </c>
      <c r="I13" t="s">
        <v>322</v>
      </c>
      <c r="J13" t="s">
        <v>305</v>
      </c>
      <c r="K13" t="s">
        <v>331</v>
      </c>
      <c r="L13" t="s">
        <v>382</v>
      </c>
    </row>
    <row r="14" spans="1:12" x14ac:dyDescent="0.3">
      <c r="A14" t="s">
        <v>383</v>
      </c>
      <c r="B14" t="s">
        <v>211</v>
      </c>
      <c r="C14" t="s">
        <v>309</v>
      </c>
      <c r="D14" t="s">
        <v>185</v>
      </c>
      <c r="E14" t="s">
        <v>384</v>
      </c>
      <c r="F14" t="s">
        <v>385</v>
      </c>
      <c r="G14" t="s">
        <v>386</v>
      </c>
      <c r="H14" t="s">
        <v>161</v>
      </c>
      <c r="I14" t="s">
        <v>387</v>
      </c>
      <c r="J14" t="s">
        <v>388</v>
      </c>
      <c r="K14" t="s">
        <v>331</v>
      </c>
      <c r="L14" t="s">
        <v>389</v>
      </c>
    </row>
    <row r="15" spans="1:12" x14ac:dyDescent="0.3">
      <c r="A15" t="s">
        <v>390</v>
      </c>
      <c r="B15" t="s">
        <v>371</v>
      </c>
      <c r="C15" t="s">
        <v>309</v>
      </c>
      <c r="D15" t="s">
        <v>156</v>
      </c>
      <c r="E15" t="s">
        <v>391</v>
      </c>
      <c r="F15" t="s">
        <v>392</v>
      </c>
      <c r="G15" t="s">
        <v>393</v>
      </c>
      <c r="H15" t="s">
        <v>394</v>
      </c>
      <c r="I15" t="s">
        <v>395</v>
      </c>
      <c r="J15" t="s">
        <v>396</v>
      </c>
      <c r="K15" t="s">
        <v>316</v>
      </c>
      <c r="L15" t="s">
        <v>397</v>
      </c>
    </row>
    <row r="16" spans="1:12" x14ac:dyDescent="0.3">
      <c r="A16" t="s">
        <v>398</v>
      </c>
      <c r="B16" t="s">
        <v>211</v>
      </c>
      <c r="C16" t="s">
        <v>204</v>
      </c>
      <c r="D16" t="s">
        <v>156</v>
      </c>
      <c r="E16" t="s">
        <v>399</v>
      </c>
      <c r="F16" t="s">
        <v>400</v>
      </c>
      <c r="G16" t="s">
        <v>401</v>
      </c>
      <c r="H16" t="s">
        <v>161</v>
      </c>
      <c r="I16" t="s">
        <v>402</v>
      </c>
      <c r="J16" t="s">
        <v>388</v>
      </c>
      <c r="K16" t="s">
        <v>316</v>
      </c>
      <c r="L16" t="s">
        <v>403</v>
      </c>
    </row>
    <row r="17" spans="1:12" x14ac:dyDescent="0.3">
      <c r="A17" t="s">
        <v>404</v>
      </c>
      <c r="B17" t="s">
        <v>378</v>
      </c>
      <c r="C17" t="s">
        <v>309</v>
      </c>
      <c r="D17" t="s">
        <v>156</v>
      </c>
      <c r="E17" t="s">
        <v>405</v>
      </c>
      <c r="F17" t="s">
        <v>406</v>
      </c>
      <c r="G17" t="s">
        <v>407</v>
      </c>
      <c r="H17" t="s">
        <v>161</v>
      </c>
      <c r="I17" t="s">
        <v>408</v>
      </c>
      <c r="J17" t="s">
        <v>396</v>
      </c>
      <c r="K17" t="s">
        <v>331</v>
      </c>
      <c r="L17" t="s">
        <v>409</v>
      </c>
    </row>
    <row r="18" spans="1:12" x14ac:dyDescent="0.3">
      <c r="A18" t="s">
        <v>410</v>
      </c>
      <c r="B18" t="s">
        <v>240</v>
      </c>
      <c r="C18" t="s">
        <v>204</v>
      </c>
      <c r="D18" t="s">
        <v>156</v>
      </c>
      <c r="E18" t="s">
        <v>411</v>
      </c>
      <c r="F18" t="s">
        <v>412</v>
      </c>
      <c r="G18" t="s">
        <v>413</v>
      </c>
      <c r="H18" t="s">
        <v>414</v>
      </c>
      <c r="I18" t="s">
        <v>415</v>
      </c>
      <c r="J18" t="s">
        <v>388</v>
      </c>
      <c r="K18" t="s">
        <v>331</v>
      </c>
      <c r="L18" t="s">
        <v>416</v>
      </c>
    </row>
    <row r="19" spans="1:12" x14ac:dyDescent="0.3">
      <c r="A19" t="s">
        <v>417</v>
      </c>
      <c r="B19" t="s">
        <v>240</v>
      </c>
      <c r="C19" t="s">
        <v>204</v>
      </c>
      <c r="D19" t="s">
        <v>156</v>
      </c>
      <c r="E19" t="s">
        <v>418</v>
      </c>
      <c r="F19" t="s">
        <v>419</v>
      </c>
      <c r="G19" t="s">
        <v>420</v>
      </c>
      <c r="H19" t="s">
        <v>161</v>
      </c>
      <c r="I19" t="s">
        <v>421</v>
      </c>
      <c r="J19" t="s">
        <v>161</v>
      </c>
      <c r="K19" t="s">
        <v>331</v>
      </c>
      <c r="L19" t="s">
        <v>422</v>
      </c>
    </row>
    <row r="20" spans="1:12" x14ac:dyDescent="0.3">
      <c r="A20" t="s">
        <v>423</v>
      </c>
      <c r="B20" t="s">
        <v>240</v>
      </c>
      <c r="C20" t="s">
        <v>309</v>
      </c>
      <c r="D20" t="s">
        <v>156</v>
      </c>
      <c r="E20" t="s">
        <v>424</v>
      </c>
      <c r="F20" t="s">
        <v>425</v>
      </c>
      <c r="G20" t="s">
        <v>426</v>
      </c>
      <c r="H20" t="s">
        <v>427</v>
      </c>
      <c r="I20" t="s">
        <v>428</v>
      </c>
      <c r="J20" t="s">
        <v>388</v>
      </c>
      <c r="K20" t="s">
        <v>316</v>
      </c>
      <c r="L20" t="s">
        <v>429</v>
      </c>
    </row>
    <row r="21" spans="1:12" x14ac:dyDescent="0.3">
      <c r="A21" t="s">
        <v>430</v>
      </c>
      <c r="B21" t="s">
        <v>240</v>
      </c>
      <c r="C21" t="s">
        <v>309</v>
      </c>
      <c r="D21" t="s">
        <v>156</v>
      </c>
      <c r="E21" t="s">
        <v>431</v>
      </c>
      <c r="F21" t="s">
        <v>432</v>
      </c>
      <c r="G21" t="s">
        <v>433</v>
      </c>
      <c r="H21" t="s">
        <v>161</v>
      </c>
      <c r="I21" t="s">
        <v>434</v>
      </c>
      <c r="J21" t="s">
        <v>388</v>
      </c>
      <c r="K21" t="s">
        <v>331</v>
      </c>
      <c r="L21" t="s">
        <v>435</v>
      </c>
    </row>
    <row r="22" spans="1:12" x14ac:dyDescent="0.3">
      <c r="A22" t="s">
        <v>436</v>
      </c>
      <c r="B22" t="s">
        <v>240</v>
      </c>
      <c r="C22" t="s">
        <v>204</v>
      </c>
      <c r="D22" t="s">
        <v>156</v>
      </c>
      <c r="E22" t="s">
        <v>437</v>
      </c>
      <c r="F22" t="s">
        <v>438</v>
      </c>
      <c r="G22" t="s">
        <v>439</v>
      </c>
      <c r="H22" t="s">
        <v>440</v>
      </c>
      <c r="I22" t="s">
        <v>441</v>
      </c>
      <c r="J22" t="s">
        <v>388</v>
      </c>
      <c r="K22" t="s">
        <v>306</v>
      </c>
      <c r="L22" t="s">
        <v>442</v>
      </c>
    </row>
    <row r="23" spans="1:12" x14ac:dyDescent="0.3">
      <c r="A23" t="s">
        <v>443</v>
      </c>
      <c r="B23" t="s">
        <v>240</v>
      </c>
      <c r="C23" t="s">
        <v>155</v>
      </c>
      <c r="D23" t="s">
        <v>156</v>
      </c>
      <c r="E23" t="s">
        <v>444</v>
      </c>
      <c r="F23" t="s">
        <v>445</v>
      </c>
      <c r="G23" t="s">
        <v>446</v>
      </c>
      <c r="H23" t="s">
        <v>161</v>
      </c>
      <c r="I23" t="s">
        <v>447</v>
      </c>
      <c r="J23" t="s">
        <v>161</v>
      </c>
      <c r="K23" t="s">
        <v>331</v>
      </c>
      <c r="L23" t="s">
        <v>448</v>
      </c>
    </row>
    <row r="24" spans="1:12" x14ac:dyDescent="0.3">
      <c r="A24" t="s">
        <v>449</v>
      </c>
      <c r="B24" t="s">
        <v>211</v>
      </c>
      <c r="C24" t="s">
        <v>204</v>
      </c>
      <c r="D24" t="s">
        <v>450</v>
      </c>
      <c r="E24" t="s">
        <v>451</v>
      </c>
      <c r="F24" t="s">
        <v>452</v>
      </c>
      <c r="G24" t="s">
        <v>453</v>
      </c>
      <c r="H24" t="s">
        <v>161</v>
      </c>
      <c r="I24" t="s">
        <v>454</v>
      </c>
      <c r="J24" t="s">
        <v>388</v>
      </c>
      <c r="K24" t="s">
        <v>331</v>
      </c>
      <c r="L24" t="s">
        <v>455</v>
      </c>
    </row>
    <row r="25" spans="1:12" x14ac:dyDescent="0.3">
      <c r="A25" t="s">
        <v>456</v>
      </c>
      <c r="B25" t="s">
        <v>211</v>
      </c>
      <c r="C25" t="s">
        <v>309</v>
      </c>
      <c r="D25" t="s">
        <v>156</v>
      </c>
      <c r="E25" t="s">
        <v>457</v>
      </c>
      <c r="F25" t="s">
        <v>458</v>
      </c>
      <c r="G25" t="s">
        <v>459</v>
      </c>
      <c r="H25" t="s">
        <v>414</v>
      </c>
      <c r="I25" t="s">
        <v>460</v>
      </c>
      <c r="J25" t="s">
        <v>388</v>
      </c>
      <c r="K25" t="s">
        <v>316</v>
      </c>
      <c r="L25" t="s">
        <v>461</v>
      </c>
    </row>
    <row r="26" spans="1:12" x14ac:dyDescent="0.3">
      <c r="A26" t="s">
        <v>462</v>
      </c>
      <c r="B26" t="s">
        <v>371</v>
      </c>
      <c r="C26" t="s">
        <v>309</v>
      </c>
      <c r="D26" t="s">
        <v>372</v>
      </c>
      <c r="E26" t="s">
        <v>463</v>
      </c>
      <c r="F26" t="s">
        <v>464</v>
      </c>
      <c r="G26" t="s">
        <v>465</v>
      </c>
      <c r="H26" t="s">
        <v>161</v>
      </c>
      <c r="I26" t="s">
        <v>466</v>
      </c>
      <c r="J26" t="s">
        <v>388</v>
      </c>
      <c r="K26" t="s">
        <v>316</v>
      </c>
      <c r="L26" t="s">
        <v>467</v>
      </c>
    </row>
    <row r="27" spans="1:12" x14ac:dyDescent="0.3">
      <c r="A27" t="s">
        <v>468</v>
      </c>
      <c r="B27" t="s">
        <v>469</v>
      </c>
      <c r="C27" t="s">
        <v>309</v>
      </c>
      <c r="D27" t="s">
        <v>156</v>
      </c>
      <c r="E27" t="s">
        <v>470</v>
      </c>
      <c r="F27" t="s">
        <v>471</v>
      </c>
      <c r="G27" t="s">
        <v>472</v>
      </c>
      <c r="H27" t="s">
        <v>473</v>
      </c>
      <c r="I27" t="s">
        <v>474</v>
      </c>
      <c r="J27" t="s">
        <v>396</v>
      </c>
      <c r="K27" t="s">
        <v>306</v>
      </c>
      <c r="L27" t="s">
        <v>475</v>
      </c>
    </row>
    <row r="28" spans="1:12" x14ac:dyDescent="0.3">
      <c r="A28" t="s">
        <v>476</v>
      </c>
      <c r="B28" t="s">
        <v>232</v>
      </c>
      <c r="C28" t="s">
        <v>170</v>
      </c>
      <c r="D28" t="s">
        <v>156</v>
      </c>
      <c r="E28" t="s">
        <v>477</v>
      </c>
      <c r="F28" t="s">
        <v>478</v>
      </c>
      <c r="G28" t="s">
        <v>479</v>
      </c>
      <c r="H28" t="s">
        <v>161</v>
      </c>
      <c r="I28" t="s">
        <v>454</v>
      </c>
      <c r="J28" t="s">
        <v>388</v>
      </c>
      <c r="K28" t="s">
        <v>331</v>
      </c>
      <c r="L28" t="s">
        <v>480</v>
      </c>
    </row>
    <row r="29" spans="1:12" x14ac:dyDescent="0.3">
      <c r="A29" t="s">
        <v>481</v>
      </c>
      <c r="B29" t="s">
        <v>469</v>
      </c>
      <c r="C29" t="s">
        <v>204</v>
      </c>
      <c r="D29" t="s">
        <v>156</v>
      </c>
      <c r="E29" t="s">
        <v>482</v>
      </c>
      <c r="F29" t="s">
        <v>483</v>
      </c>
      <c r="G29" t="s">
        <v>484</v>
      </c>
      <c r="H29" t="s">
        <v>485</v>
      </c>
      <c r="I29" t="s">
        <v>486</v>
      </c>
      <c r="J29" t="s">
        <v>388</v>
      </c>
      <c r="K29" t="s">
        <v>331</v>
      </c>
      <c r="L29" t="s">
        <v>487</v>
      </c>
    </row>
    <row r="30" spans="1:12" x14ac:dyDescent="0.3">
      <c r="A30" t="s">
        <v>488</v>
      </c>
      <c r="B30" t="s">
        <v>232</v>
      </c>
      <c r="C30" t="s">
        <v>170</v>
      </c>
      <c r="D30" t="s">
        <v>156</v>
      </c>
      <c r="E30" t="s">
        <v>489</v>
      </c>
      <c r="F30" t="s">
        <v>490</v>
      </c>
      <c r="G30" t="s">
        <v>491</v>
      </c>
      <c r="H30" t="s">
        <v>161</v>
      </c>
      <c r="I30" t="s">
        <v>350</v>
      </c>
      <c r="J30" t="s">
        <v>388</v>
      </c>
      <c r="K30" t="s">
        <v>331</v>
      </c>
      <c r="L30" t="s">
        <v>492</v>
      </c>
    </row>
    <row r="31" spans="1:12" x14ac:dyDescent="0.3">
      <c r="A31" t="s">
        <v>493</v>
      </c>
      <c r="B31" t="s">
        <v>211</v>
      </c>
      <c r="C31" t="s">
        <v>309</v>
      </c>
      <c r="D31" t="s">
        <v>450</v>
      </c>
      <c r="E31" t="s">
        <v>494</v>
      </c>
      <c r="F31" t="s">
        <v>495</v>
      </c>
      <c r="G31" t="s">
        <v>496</v>
      </c>
      <c r="H31" t="s">
        <v>161</v>
      </c>
      <c r="I31" t="s">
        <v>497</v>
      </c>
      <c r="J31" t="s">
        <v>388</v>
      </c>
      <c r="K31" t="s">
        <v>331</v>
      </c>
      <c r="L31" t="s">
        <v>498</v>
      </c>
    </row>
    <row r="32" spans="1:12" x14ac:dyDescent="0.3">
      <c r="A32" t="s">
        <v>499</v>
      </c>
      <c r="B32" t="s">
        <v>500</v>
      </c>
      <c r="C32" t="s">
        <v>204</v>
      </c>
      <c r="D32" t="s">
        <v>185</v>
      </c>
      <c r="E32" t="s">
        <v>501</v>
      </c>
      <c r="F32" t="s">
        <v>502</v>
      </c>
      <c r="G32" t="s">
        <v>503</v>
      </c>
      <c r="H32" t="s">
        <v>161</v>
      </c>
      <c r="I32" t="s">
        <v>504</v>
      </c>
      <c r="J32" t="s">
        <v>505</v>
      </c>
      <c r="K32" t="s">
        <v>331</v>
      </c>
      <c r="L32" t="s">
        <v>506</v>
      </c>
    </row>
    <row r="33" spans="1:12" x14ac:dyDescent="0.3">
      <c r="A33" t="s">
        <v>507</v>
      </c>
      <c r="B33" t="s">
        <v>378</v>
      </c>
      <c r="C33" t="s">
        <v>309</v>
      </c>
      <c r="D33" t="s">
        <v>156</v>
      </c>
      <c r="E33" t="s">
        <v>508</v>
      </c>
      <c r="F33" t="s">
        <v>509</v>
      </c>
      <c r="G33" t="s">
        <v>510</v>
      </c>
      <c r="H33" t="s">
        <v>161</v>
      </c>
      <c r="I33" t="s">
        <v>511</v>
      </c>
      <c r="J33" t="s">
        <v>396</v>
      </c>
      <c r="K33" t="s">
        <v>331</v>
      </c>
      <c r="L33" t="s">
        <v>512</v>
      </c>
    </row>
    <row r="34" spans="1:12" x14ac:dyDescent="0.3">
      <c r="A34" t="s">
        <v>513</v>
      </c>
      <c r="B34" t="s">
        <v>514</v>
      </c>
      <c r="C34" t="s">
        <v>204</v>
      </c>
      <c r="D34" t="s">
        <v>156</v>
      </c>
      <c r="E34" t="s">
        <v>515</v>
      </c>
      <c r="F34" t="s">
        <v>516</v>
      </c>
      <c r="G34" t="s">
        <v>161</v>
      </c>
      <c r="H34" t="s">
        <v>161</v>
      </c>
      <c r="I34" t="s">
        <v>485</v>
      </c>
      <c r="J34" t="s">
        <v>388</v>
      </c>
      <c r="K34" t="s">
        <v>316</v>
      </c>
      <c r="L34" t="s">
        <v>517</v>
      </c>
    </row>
    <row r="35" spans="1:12" x14ac:dyDescent="0.3">
      <c r="A35" t="s">
        <v>518</v>
      </c>
      <c r="B35" t="s">
        <v>519</v>
      </c>
      <c r="C35" t="s">
        <v>204</v>
      </c>
      <c r="D35" t="s">
        <v>185</v>
      </c>
      <c r="E35" t="s">
        <v>520</v>
      </c>
      <c r="F35" t="s">
        <v>521</v>
      </c>
      <c r="G35" t="s">
        <v>161</v>
      </c>
      <c r="H35" t="s">
        <v>161</v>
      </c>
      <c r="I35" t="s">
        <v>522</v>
      </c>
      <c r="J35" t="s">
        <v>161</v>
      </c>
      <c r="K35" t="s">
        <v>161</v>
      </c>
      <c r="L35" t="s">
        <v>523</v>
      </c>
    </row>
    <row r="36" spans="1:12" x14ac:dyDescent="0.3">
      <c r="A36" t="s">
        <v>524</v>
      </c>
      <c r="B36" t="s">
        <v>240</v>
      </c>
      <c r="C36" t="s">
        <v>204</v>
      </c>
      <c r="D36" t="s">
        <v>156</v>
      </c>
      <c r="E36" t="s">
        <v>525</v>
      </c>
      <c r="F36" t="s">
        <v>526</v>
      </c>
      <c r="G36" t="s">
        <v>527</v>
      </c>
      <c r="H36" t="s">
        <v>161</v>
      </c>
      <c r="I36" t="s">
        <v>528</v>
      </c>
      <c r="J36" t="s">
        <v>529</v>
      </c>
      <c r="K36" t="s">
        <v>331</v>
      </c>
      <c r="L36" t="s">
        <v>530</v>
      </c>
    </row>
    <row r="37" spans="1:12" x14ac:dyDescent="0.3">
      <c r="A37" t="s">
        <v>531</v>
      </c>
      <c r="B37" t="s">
        <v>240</v>
      </c>
      <c r="C37" t="s">
        <v>170</v>
      </c>
      <c r="D37" t="s">
        <v>156</v>
      </c>
      <c r="E37" t="s">
        <v>532</v>
      </c>
      <c r="F37" t="s">
        <v>533</v>
      </c>
      <c r="G37" t="s">
        <v>534</v>
      </c>
      <c r="H37" t="s">
        <v>161</v>
      </c>
      <c r="I37" t="s">
        <v>350</v>
      </c>
      <c r="J37" t="s">
        <v>388</v>
      </c>
      <c r="K37" t="s">
        <v>331</v>
      </c>
      <c r="L37" t="s">
        <v>535</v>
      </c>
    </row>
    <row r="38" spans="1:12" x14ac:dyDescent="0.3">
      <c r="A38" t="s">
        <v>536</v>
      </c>
      <c r="B38" t="s">
        <v>232</v>
      </c>
      <c r="C38" t="s">
        <v>204</v>
      </c>
      <c r="D38" t="s">
        <v>156</v>
      </c>
      <c r="E38" t="s">
        <v>537</v>
      </c>
      <c r="F38" t="s">
        <v>538</v>
      </c>
      <c r="G38" t="s">
        <v>539</v>
      </c>
      <c r="H38" t="s">
        <v>161</v>
      </c>
      <c r="I38" t="s">
        <v>540</v>
      </c>
      <c r="J38" t="s">
        <v>529</v>
      </c>
      <c r="K38" t="s">
        <v>331</v>
      </c>
      <c r="L38" t="s">
        <v>541</v>
      </c>
    </row>
    <row r="39" spans="1:12" x14ac:dyDescent="0.3">
      <c r="A39" t="s">
        <v>542</v>
      </c>
      <c r="B39" t="s">
        <v>543</v>
      </c>
      <c r="C39" t="s">
        <v>170</v>
      </c>
      <c r="D39" t="s">
        <v>156</v>
      </c>
      <c r="E39" t="s">
        <v>544</v>
      </c>
      <c r="F39" t="s">
        <v>545</v>
      </c>
      <c r="G39" t="s">
        <v>546</v>
      </c>
      <c r="H39" t="s">
        <v>161</v>
      </c>
      <c r="I39" t="s">
        <v>547</v>
      </c>
      <c r="J39" t="s">
        <v>388</v>
      </c>
      <c r="K39" t="s">
        <v>331</v>
      </c>
      <c r="L39" t="s">
        <v>548</v>
      </c>
    </row>
    <row r="40" spans="1:12" x14ac:dyDescent="0.3">
      <c r="A40" t="s">
        <v>549</v>
      </c>
      <c r="B40" t="s">
        <v>211</v>
      </c>
      <c r="C40" t="s">
        <v>309</v>
      </c>
      <c r="D40" t="s">
        <v>185</v>
      </c>
      <c r="E40" t="s">
        <v>550</v>
      </c>
      <c r="F40" t="s">
        <v>551</v>
      </c>
      <c r="G40" t="s">
        <v>552</v>
      </c>
      <c r="H40" t="s">
        <v>161</v>
      </c>
      <c r="I40" t="s">
        <v>553</v>
      </c>
      <c r="J40" t="s">
        <v>388</v>
      </c>
      <c r="K40" t="s">
        <v>316</v>
      </c>
      <c r="L40" t="s">
        <v>554</v>
      </c>
    </row>
    <row r="41" spans="1:12" x14ac:dyDescent="0.3">
      <c r="A41" t="s">
        <v>555</v>
      </c>
      <c r="B41" t="s">
        <v>240</v>
      </c>
      <c r="C41" t="s">
        <v>309</v>
      </c>
      <c r="D41" t="s">
        <v>156</v>
      </c>
      <c r="E41" t="s">
        <v>556</v>
      </c>
      <c r="F41" t="s">
        <v>557</v>
      </c>
      <c r="G41" t="s">
        <v>558</v>
      </c>
      <c r="H41" t="s">
        <v>161</v>
      </c>
      <c r="I41" t="s">
        <v>486</v>
      </c>
      <c r="J41" t="s">
        <v>396</v>
      </c>
      <c r="K41" t="s">
        <v>316</v>
      </c>
      <c r="L41" t="s">
        <v>559</v>
      </c>
    </row>
    <row r="42" spans="1:12" x14ac:dyDescent="0.3">
      <c r="A42" t="s">
        <v>560</v>
      </c>
      <c r="B42" t="s">
        <v>514</v>
      </c>
      <c r="C42" t="s">
        <v>170</v>
      </c>
      <c r="D42" t="s">
        <v>561</v>
      </c>
      <c r="E42" t="s">
        <v>562</v>
      </c>
      <c r="F42" t="s">
        <v>563</v>
      </c>
      <c r="G42" t="s">
        <v>161</v>
      </c>
      <c r="H42" t="s">
        <v>161</v>
      </c>
      <c r="I42" t="s">
        <v>564</v>
      </c>
      <c r="J42" t="s">
        <v>388</v>
      </c>
      <c r="K42" t="s">
        <v>316</v>
      </c>
      <c r="L42" t="s">
        <v>565</v>
      </c>
    </row>
    <row r="43" spans="1:12" x14ac:dyDescent="0.3">
      <c r="A43" t="s">
        <v>566</v>
      </c>
      <c r="B43" t="s">
        <v>378</v>
      </c>
      <c r="C43" t="s">
        <v>309</v>
      </c>
      <c r="D43" t="s">
        <v>185</v>
      </c>
      <c r="E43" t="s">
        <v>567</v>
      </c>
      <c r="F43" t="s">
        <v>568</v>
      </c>
      <c r="G43" t="s">
        <v>569</v>
      </c>
      <c r="H43" t="s">
        <v>161</v>
      </c>
      <c r="I43" t="s">
        <v>570</v>
      </c>
      <c r="J43" t="s">
        <v>323</v>
      </c>
      <c r="K43" t="s">
        <v>331</v>
      </c>
      <c r="L43" t="s">
        <v>571</v>
      </c>
    </row>
    <row r="44" spans="1:12" x14ac:dyDescent="0.3">
      <c r="A44" t="s">
        <v>572</v>
      </c>
      <c r="B44" t="s">
        <v>211</v>
      </c>
      <c r="C44" t="s">
        <v>309</v>
      </c>
      <c r="D44" t="s">
        <v>156</v>
      </c>
      <c r="E44" t="s">
        <v>573</v>
      </c>
      <c r="F44" t="s">
        <v>574</v>
      </c>
      <c r="G44" t="s">
        <v>575</v>
      </c>
      <c r="H44" t="s">
        <v>161</v>
      </c>
      <c r="I44" t="s">
        <v>576</v>
      </c>
      <c r="J44" t="s">
        <v>388</v>
      </c>
      <c r="K44" t="s">
        <v>316</v>
      </c>
      <c r="L44" t="s">
        <v>577</v>
      </c>
    </row>
    <row r="45" spans="1:12" x14ac:dyDescent="0.3">
      <c r="A45" t="s">
        <v>578</v>
      </c>
      <c r="B45" t="s">
        <v>519</v>
      </c>
      <c r="C45" t="s">
        <v>309</v>
      </c>
      <c r="D45" t="s">
        <v>156</v>
      </c>
      <c r="E45" t="s">
        <v>579</v>
      </c>
      <c r="F45" t="s">
        <v>580</v>
      </c>
      <c r="G45" t="s">
        <v>161</v>
      </c>
      <c r="H45" t="s">
        <v>161</v>
      </c>
      <c r="I45" t="s">
        <v>485</v>
      </c>
      <c r="J45" t="s">
        <v>505</v>
      </c>
      <c r="K45" t="s">
        <v>331</v>
      </c>
      <c r="L45" t="s">
        <v>581</v>
      </c>
    </row>
    <row r="46" spans="1:12" x14ac:dyDescent="0.3">
      <c r="A46" t="s">
        <v>582</v>
      </c>
      <c r="B46" t="s">
        <v>469</v>
      </c>
      <c r="C46" t="s">
        <v>309</v>
      </c>
      <c r="D46" t="s">
        <v>185</v>
      </c>
      <c r="E46" t="s">
        <v>583</v>
      </c>
      <c r="F46" t="s">
        <v>584</v>
      </c>
      <c r="G46" t="s">
        <v>585</v>
      </c>
      <c r="H46" t="s">
        <v>586</v>
      </c>
      <c r="I46" t="s">
        <v>587</v>
      </c>
      <c r="J46" t="s">
        <v>505</v>
      </c>
      <c r="K46" t="s">
        <v>331</v>
      </c>
      <c r="L46" t="s">
        <v>588</v>
      </c>
    </row>
    <row r="47" spans="1:12" x14ac:dyDescent="0.3">
      <c r="A47" t="s">
        <v>589</v>
      </c>
      <c r="B47" t="s">
        <v>211</v>
      </c>
      <c r="C47" t="s">
        <v>161</v>
      </c>
      <c r="D47" t="s">
        <v>185</v>
      </c>
      <c r="E47" t="s">
        <v>590</v>
      </c>
      <c r="F47" t="s">
        <v>591</v>
      </c>
      <c r="G47" t="s">
        <v>592</v>
      </c>
      <c r="H47" t="s">
        <v>161</v>
      </c>
      <c r="I47" t="s">
        <v>593</v>
      </c>
      <c r="J47" t="s">
        <v>396</v>
      </c>
      <c r="K47" t="s">
        <v>316</v>
      </c>
      <c r="L47" t="s">
        <v>594</v>
      </c>
    </row>
    <row r="48" spans="1:12" x14ac:dyDescent="0.3">
      <c r="A48" t="s">
        <v>595</v>
      </c>
      <c r="B48" t="s">
        <v>371</v>
      </c>
      <c r="C48" t="s">
        <v>309</v>
      </c>
      <c r="D48" t="s">
        <v>372</v>
      </c>
      <c r="E48" t="s">
        <v>596</v>
      </c>
      <c r="F48" t="s">
        <v>597</v>
      </c>
      <c r="G48" t="s">
        <v>598</v>
      </c>
      <c r="H48" t="s">
        <v>161</v>
      </c>
      <c r="I48" t="s">
        <v>599</v>
      </c>
      <c r="J48" t="s">
        <v>396</v>
      </c>
      <c r="K48" t="s">
        <v>316</v>
      </c>
      <c r="L48" t="s">
        <v>577</v>
      </c>
    </row>
    <row r="49" spans="1:12" x14ac:dyDescent="0.3">
      <c r="A49" t="s">
        <v>600</v>
      </c>
      <c r="B49" t="s">
        <v>371</v>
      </c>
      <c r="C49" t="s">
        <v>309</v>
      </c>
      <c r="D49" t="s">
        <v>372</v>
      </c>
      <c r="E49" t="s">
        <v>601</v>
      </c>
      <c r="F49" t="s">
        <v>602</v>
      </c>
      <c r="G49" t="s">
        <v>603</v>
      </c>
      <c r="H49" t="s">
        <v>161</v>
      </c>
      <c r="I49" t="s">
        <v>604</v>
      </c>
      <c r="J49" t="s">
        <v>505</v>
      </c>
      <c r="K49" t="s">
        <v>316</v>
      </c>
      <c r="L49" t="s">
        <v>605</v>
      </c>
    </row>
    <row r="50" spans="1:12" x14ac:dyDescent="0.3">
      <c r="A50" t="s">
        <v>606</v>
      </c>
      <c r="B50" t="s">
        <v>371</v>
      </c>
      <c r="C50" t="s">
        <v>309</v>
      </c>
      <c r="D50" t="s">
        <v>372</v>
      </c>
      <c r="E50" t="s">
        <v>607</v>
      </c>
      <c r="F50" t="s">
        <v>608</v>
      </c>
      <c r="G50" t="s">
        <v>161</v>
      </c>
      <c r="H50" t="s">
        <v>161</v>
      </c>
      <c r="I50" t="s">
        <v>609</v>
      </c>
      <c r="J50" t="s">
        <v>505</v>
      </c>
      <c r="K50" t="s">
        <v>306</v>
      </c>
      <c r="L50" t="s">
        <v>610</v>
      </c>
    </row>
    <row r="51" spans="1:12" x14ac:dyDescent="0.3">
      <c r="A51" t="s">
        <v>611</v>
      </c>
      <c r="B51" t="s">
        <v>371</v>
      </c>
      <c r="C51" t="s">
        <v>309</v>
      </c>
      <c r="D51" t="s">
        <v>372</v>
      </c>
      <c r="E51" t="s">
        <v>612</v>
      </c>
      <c r="F51" t="s">
        <v>613</v>
      </c>
      <c r="G51" t="s">
        <v>614</v>
      </c>
      <c r="H51" t="s">
        <v>161</v>
      </c>
      <c r="I51" t="s">
        <v>615</v>
      </c>
      <c r="J51" t="s">
        <v>396</v>
      </c>
      <c r="K51" t="s">
        <v>316</v>
      </c>
      <c r="L51" t="s">
        <v>616</v>
      </c>
    </row>
    <row r="52" spans="1:12" x14ac:dyDescent="0.3">
      <c r="A52" t="s">
        <v>617</v>
      </c>
      <c r="B52" t="s">
        <v>371</v>
      </c>
      <c r="C52" t="s">
        <v>309</v>
      </c>
      <c r="D52" t="s">
        <v>372</v>
      </c>
      <c r="E52" t="s">
        <v>618</v>
      </c>
      <c r="F52" t="s">
        <v>619</v>
      </c>
      <c r="G52" t="s">
        <v>620</v>
      </c>
      <c r="H52" t="s">
        <v>161</v>
      </c>
      <c r="I52" t="s">
        <v>621</v>
      </c>
      <c r="J52" t="s">
        <v>396</v>
      </c>
      <c r="K52" t="s">
        <v>316</v>
      </c>
      <c r="L52" t="s">
        <v>622</v>
      </c>
    </row>
    <row r="53" spans="1:12" x14ac:dyDescent="0.3">
      <c r="A53" t="s">
        <v>623</v>
      </c>
      <c r="B53" t="s">
        <v>371</v>
      </c>
      <c r="C53" t="s">
        <v>309</v>
      </c>
      <c r="D53" t="s">
        <v>372</v>
      </c>
      <c r="E53" t="s">
        <v>624</v>
      </c>
      <c r="F53" t="s">
        <v>625</v>
      </c>
      <c r="G53" t="s">
        <v>161</v>
      </c>
      <c r="H53" t="s">
        <v>161</v>
      </c>
      <c r="I53" t="s">
        <v>626</v>
      </c>
      <c r="J53" t="s">
        <v>396</v>
      </c>
      <c r="K53" t="s">
        <v>316</v>
      </c>
      <c r="L53" t="s">
        <v>627</v>
      </c>
    </row>
    <row r="54" spans="1:12" x14ac:dyDescent="0.3">
      <c r="A54" t="s">
        <v>628</v>
      </c>
      <c r="B54" t="s">
        <v>371</v>
      </c>
      <c r="C54" t="s">
        <v>204</v>
      </c>
      <c r="D54" t="s">
        <v>372</v>
      </c>
      <c r="E54" t="s">
        <v>629</v>
      </c>
      <c r="F54" t="s">
        <v>630</v>
      </c>
      <c r="G54" t="s">
        <v>161</v>
      </c>
      <c r="H54" t="s">
        <v>161</v>
      </c>
      <c r="I54" t="s">
        <v>415</v>
      </c>
      <c r="J54" t="s">
        <v>631</v>
      </c>
      <c r="K54" t="s">
        <v>632</v>
      </c>
      <c r="L54" t="s">
        <v>403</v>
      </c>
    </row>
    <row r="55" spans="1:12" x14ac:dyDescent="0.3">
      <c r="A55" t="s">
        <v>633</v>
      </c>
      <c r="B55" t="s">
        <v>378</v>
      </c>
      <c r="C55" t="s">
        <v>309</v>
      </c>
      <c r="D55" t="s">
        <v>156</v>
      </c>
      <c r="E55" t="s">
        <v>634</v>
      </c>
      <c r="F55" t="s">
        <v>635</v>
      </c>
      <c r="G55" t="s">
        <v>636</v>
      </c>
      <c r="H55" t="s">
        <v>161</v>
      </c>
      <c r="I55" t="s">
        <v>637</v>
      </c>
      <c r="J55" t="s">
        <v>388</v>
      </c>
      <c r="K55" t="s">
        <v>331</v>
      </c>
      <c r="L55" t="s">
        <v>577</v>
      </c>
    </row>
    <row r="56" spans="1:12" x14ac:dyDescent="0.3">
      <c r="A56" t="s">
        <v>638</v>
      </c>
      <c r="B56" t="s">
        <v>240</v>
      </c>
      <c r="C56" t="s">
        <v>204</v>
      </c>
      <c r="D56" t="s">
        <v>156</v>
      </c>
      <c r="E56" t="s">
        <v>639</v>
      </c>
      <c r="F56" t="s">
        <v>640</v>
      </c>
      <c r="G56" t="s">
        <v>641</v>
      </c>
      <c r="H56" t="s">
        <v>642</v>
      </c>
      <c r="I56" t="s">
        <v>643</v>
      </c>
      <c r="J56" t="s">
        <v>305</v>
      </c>
      <c r="K56" t="s">
        <v>316</v>
      </c>
      <c r="L56" t="s">
        <v>644</v>
      </c>
    </row>
    <row r="57" spans="1:12" x14ac:dyDescent="0.3">
      <c r="A57" t="s">
        <v>645</v>
      </c>
      <c r="B57" t="s">
        <v>211</v>
      </c>
      <c r="C57" t="s">
        <v>170</v>
      </c>
      <c r="D57" t="s">
        <v>156</v>
      </c>
      <c r="E57" t="s">
        <v>646</v>
      </c>
      <c r="F57" t="s">
        <v>647</v>
      </c>
      <c r="G57" t="s">
        <v>648</v>
      </c>
      <c r="H57" t="s">
        <v>161</v>
      </c>
      <c r="I57" t="s">
        <v>649</v>
      </c>
      <c r="J57" t="s">
        <v>315</v>
      </c>
      <c r="K57" t="s">
        <v>331</v>
      </c>
      <c r="L57" t="s">
        <v>650</v>
      </c>
    </row>
    <row r="58" spans="1:12" x14ac:dyDescent="0.3">
      <c r="A58" t="s">
        <v>651</v>
      </c>
      <c r="B58" t="s">
        <v>240</v>
      </c>
      <c r="C58" t="s">
        <v>204</v>
      </c>
      <c r="D58" t="s">
        <v>156</v>
      </c>
      <c r="E58" t="s">
        <v>652</v>
      </c>
      <c r="F58" t="s">
        <v>653</v>
      </c>
      <c r="G58" t="s">
        <v>654</v>
      </c>
      <c r="H58" t="s">
        <v>161</v>
      </c>
      <c r="I58" t="s">
        <v>553</v>
      </c>
      <c r="J58" t="s">
        <v>305</v>
      </c>
      <c r="K58" t="s">
        <v>331</v>
      </c>
      <c r="L58" t="s">
        <v>655</v>
      </c>
    </row>
    <row r="59" spans="1:12" x14ac:dyDescent="0.3">
      <c r="A59" t="s">
        <v>656</v>
      </c>
      <c r="B59" t="s">
        <v>240</v>
      </c>
      <c r="C59" t="s">
        <v>204</v>
      </c>
      <c r="D59" t="s">
        <v>156</v>
      </c>
      <c r="E59" t="s">
        <v>657</v>
      </c>
      <c r="F59" t="s">
        <v>658</v>
      </c>
      <c r="G59" t="s">
        <v>659</v>
      </c>
      <c r="H59" t="s">
        <v>161</v>
      </c>
      <c r="I59" t="s">
        <v>660</v>
      </c>
      <c r="J59" t="s">
        <v>305</v>
      </c>
      <c r="K59" t="s">
        <v>316</v>
      </c>
      <c r="L59" t="s">
        <v>661</v>
      </c>
    </row>
    <row r="60" spans="1:12" x14ac:dyDescent="0.3">
      <c r="A60" t="s">
        <v>662</v>
      </c>
      <c r="B60" t="s">
        <v>240</v>
      </c>
      <c r="C60" t="s">
        <v>204</v>
      </c>
      <c r="D60" t="s">
        <v>156</v>
      </c>
      <c r="E60" t="s">
        <v>663</v>
      </c>
      <c r="F60" t="s">
        <v>664</v>
      </c>
      <c r="G60" t="s">
        <v>665</v>
      </c>
      <c r="H60" t="s">
        <v>666</v>
      </c>
      <c r="I60" t="s">
        <v>667</v>
      </c>
      <c r="J60" t="s">
        <v>305</v>
      </c>
      <c r="K60" t="s">
        <v>316</v>
      </c>
      <c r="L60" t="s">
        <v>357</v>
      </c>
    </row>
    <row r="61" spans="1:12" x14ac:dyDescent="0.3">
      <c r="A61" t="s">
        <v>668</v>
      </c>
      <c r="B61" t="s">
        <v>240</v>
      </c>
      <c r="C61" t="s">
        <v>170</v>
      </c>
      <c r="D61" t="s">
        <v>156</v>
      </c>
      <c r="E61" t="s">
        <v>669</v>
      </c>
      <c r="F61" t="s">
        <v>670</v>
      </c>
      <c r="G61" t="s">
        <v>671</v>
      </c>
      <c r="H61" t="s">
        <v>161</v>
      </c>
      <c r="I61" t="s">
        <v>626</v>
      </c>
      <c r="J61" t="s">
        <v>305</v>
      </c>
      <c r="K61" t="s">
        <v>316</v>
      </c>
      <c r="L61" t="s">
        <v>672</v>
      </c>
    </row>
    <row r="62" spans="1:12" x14ac:dyDescent="0.3">
      <c r="A62" t="s">
        <v>673</v>
      </c>
      <c r="B62" t="s">
        <v>211</v>
      </c>
      <c r="C62" t="s">
        <v>309</v>
      </c>
      <c r="D62" t="s">
        <v>156</v>
      </c>
      <c r="E62" t="s">
        <v>674</v>
      </c>
      <c r="F62" t="s">
        <v>675</v>
      </c>
      <c r="G62" t="s">
        <v>676</v>
      </c>
      <c r="H62" t="s">
        <v>677</v>
      </c>
      <c r="I62" t="s">
        <v>678</v>
      </c>
      <c r="J62" t="s">
        <v>305</v>
      </c>
      <c r="K62" t="s">
        <v>316</v>
      </c>
      <c r="L62" t="s">
        <v>577</v>
      </c>
    </row>
    <row r="63" spans="1:12" x14ac:dyDescent="0.3">
      <c r="A63" t="s">
        <v>679</v>
      </c>
      <c r="B63" t="s">
        <v>240</v>
      </c>
      <c r="C63" t="s">
        <v>204</v>
      </c>
      <c r="D63" t="s">
        <v>156</v>
      </c>
      <c r="E63" t="s">
        <v>680</v>
      </c>
      <c r="F63" t="s">
        <v>681</v>
      </c>
      <c r="G63" t="s">
        <v>682</v>
      </c>
      <c r="H63" t="s">
        <v>683</v>
      </c>
      <c r="I63" t="s">
        <v>684</v>
      </c>
      <c r="J63" t="s">
        <v>305</v>
      </c>
      <c r="K63" t="s">
        <v>331</v>
      </c>
      <c r="L63" t="s">
        <v>685</v>
      </c>
    </row>
    <row r="64" spans="1:12" x14ac:dyDescent="0.3">
      <c r="A64" t="s">
        <v>686</v>
      </c>
      <c r="B64" t="s">
        <v>240</v>
      </c>
      <c r="C64" t="s">
        <v>309</v>
      </c>
      <c r="D64" t="s">
        <v>156</v>
      </c>
      <c r="E64" t="s">
        <v>687</v>
      </c>
      <c r="F64" t="s">
        <v>688</v>
      </c>
      <c r="G64" t="s">
        <v>689</v>
      </c>
      <c r="H64" t="s">
        <v>161</v>
      </c>
      <c r="I64" t="s">
        <v>690</v>
      </c>
      <c r="J64" t="s">
        <v>305</v>
      </c>
      <c r="K64" t="s">
        <v>316</v>
      </c>
      <c r="L64" t="s">
        <v>691</v>
      </c>
    </row>
    <row r="65" spans="1:12" x14ac:dyDescent="0.3">
      <c r="A65" t="s">
        <v>692</v>
      </c>
      <c r="B65" t="s">
        <v>240</v>
      </c>
      <c r="C65" t="s">
        <v>170</v>
      </c>
      <c r="D65" t="s">
        <v>156</v>
      </c>
      <c r="E65" t="s">
        <v>693</v>
      </c>
      <c r="F65" t="s">
        <v>694</v>
      </c>
      <c r="G65" t="s">
        <v>695</v>
      </c>
      <c r="H65" t="s">
        <v>161</v>
      </c>
      <c r="I65" t="s">
        <v>696</v>
      </c>
      <c r="J65" t="s">
        <v>305</v>
      </c>
      <c r="K65" t="s">
        <v>316</v>
      </c>
      <c r="L65" t="s">
        <v>697</v>
      </c>
    </row>
    <row r="66" spans="1:12" x14ac:dyDescent="0.3">
      <c r="A66" t="s">
        <v>698</v>
      </c>
      <c r="B66" t="s">
        <v>240</v>
      </c>
      <c r="C66" t="s">
        <v>170</v>
      </c>
      <c r="D66" t="s">
        <v>156</v>
      </c>
      <c r="E66" t="s">
        <v>699</v>
      </c>
      <c r="F66" t="s">
        <v>700</v>
      </c>
      <c r="G66" t="s">
        <v>701</v>
      </c>
      <c r="H66" t="s">
        <v>343</v>
      </c>
      <c r="I66" t="s">
        <v>702</v>
      </c>
      <c r="J66" t="s">
        <v>305</v>
      </c>
      <c r="K66" t="s">
        <v>316</v>
      </c>
      <c r="L66" t="s">
        <v>703</v>
      </c>
    </row>
    <row r="67" spans="1:12" x14ac:dyDescent="0.3">
      <c r="A67" t="s">
        <v>704</v>
      </c>
      <c r="B67" t="s">
        <v>232</v>
      </c>
      <c r="C67" t="s">
        <v>170</v>
      </c>
      <c r="D67" t="s">
        <v>156</v>
      </c>
      <c r="E67" t="s">
        <v>705</v>
      </c>
      <c r="F67" t="s">
        <v>706</v>
      </c>
      <c r="G67" t="s">
        <v>707</v>
      </c>
      <c r="H67" t="s">
        <v>161</v>
      </c>
      <c r="I67" t="s">
        <v>708</v>
      </c>
      <c r="J67" t="s">
        <v>305</v>
      </c>
      <c r="K67" t="s">
        <v>316</v>
      </c>
      <c r="L67" t="s">
        <v>709</v>
      </c>
    </row>
    <row r="68" spans="1:12" x14ac:dyDescent="0.3">
      <c r="A68" t="s">
        <v>710</v>
      </c>
      <c r="B68" t="s">
        <v>240</v>
      </c>
      <c r="C68" t="s">
        <v>204</v>
      </c>
      <c r="D68" t="s">
        <v>156</v>
      </c>
      <c r="E68" t="s">
        <v>711</v>
      </c>
      <c r="F68" t="s">
        <v>712</v>
      </c>
      <c r="G68" t="s">
        <v>713</v>
      </c>
      <c r="H68" t="s">
        <v>427</v>
      </c>
      <c r="I68" t="s">
        <v>570</v>
      </c>
      <c r="J68" t="s">
        <v>305</v>
      </c>
      <c r="K68" t="s">
        <v>331</v>
      </c>
      <c r="L68" t="s">
        <v>714</v>
      </c>
    </row>
    <row r="69" spans="1:12" x14ac:dyDescent="0.3">
      <c r="A69" t="s">
        <v>715</v>
      </c>
      <c r="B69" t="s">
        <v>378</v>
      </c>
      <c r="C69" t="s">
        <v>155</v>
      </c>
      <c r="D69" t="s">
        <v>156</v>
      </c>
      <c r="E69" t="s">
        <v>716</v>
      </c>
      <c r="F69" t="s">
        <v>717</v>
      </c>
      <c r="G69" t="s">
        <v>718</v>
      </c>
      <c r="H69" t="s">
        <v>161</v>
      </c>
      <c r="I69" t="s">
        <v>719</v>
      </c>
      <c r="J69" t="s">
        <v>356</v>
      </c>
      <c r="K69" t="s">
        <v>316</v>
      </c>
      <c r="L69" t="s">
        <v>720</v>
      </c>
    </row>
    <row r="70" spans="1:12" x14ac:dyDescent="0.3">
      <c r="A70" t="s">
        <v>721</v>
      </c>
      <c r="B70" t="s">
        <v>240</v>
      </c>
      <c r="C70" t="s">
        <v>204</v>
      </c>
      <c r="D70" t="s">
        <v>156</v>
      </c>
      <c r="E70" t="s">
        <v>722</v>
      </c>
      <c r="F70" t="s">
        <v>723</v>
      </c>
      <c r="G70" t="s">
        <v>724</v>
      </c>
      <c r="H70" t="s">
        <v>161</v>
      </c>
      <c r="I70" t="s">
        <v>725</v>
      </c>
      <c r="J70" t="s">
        <v>305</v>
      </c>
      <c r="K70" t="s">
        <v>316</v>
      </c>
      <c r="L70" t="s">
        <v>726</v>
      </c>
    </row>
    <row r="71" spans="1:12" x14ac:dyDescent="0.3">
      <c r="A71" t="s">
        <v>727</v>
      </c>
      <c r="B71" t="s">
        <v>543</v>
      </c>
      <c r="C71" t="s">
        <v>309</v>
      </c>
      <c r="D71" t="s">
        <v>156</v>
      </c>
      <c r="E71" t="s">
        <v>728</v>
      </c>
      <c r="F71" t="s">
        <v>729</v>
      </c>
      <c r="G71" t="s">
        <v>730</v>
      </c>
      <c r="H71" t="s">
        <v>161</v>
      </c>
      <c r="I71" t="s">
        <v>731</v>
      </c>
      <c r="J71" t="s">
        <v>305</v>
      </c>
      <c r="K71" t="s">
        <v>316</v>
      </c>
      <c r="L71" t="s">
        <v>732</v>
      </c>
    </row>
    <row r="72" spans="1:12" x14ac:dyDescent="0.3">
      <c r="A72" t="s">
        <v>733</v>
      </c>
      <c r="B72" t="s">
        <v>240</v>
      </c>
      <c r="C72" t="s">
        <v>309</v>
      </c>
      <c r="D72" t="s">
        <v>185</v>
      </c>
      <c r="E72" t="s">
        <v>734</v>
      </c>
      <c r="F72" t="s">
        <v>735</v>
      </c>
      <c r="G72" t="s">
        <v>736</v>
      </c>
      <c r="H72" t="s">
        <v>737</v>
      </c>
      <c r="I72" t="s">
        <v>738</v>
      </c>
      <c r="J72" t="s">
        <v>739</v>
      </c>
      <c r="K72" t="s">
        <v>331</v>
      </c>
      <c r="L72" t="s">
        <v>740</v>
      </c>
    </row>
    <row r="73" spans="1:12" x14ac:dyDescent="0.3">
      <c r="A73" t="s">
        <v>741</v>
      </c>
      <c r="B73" t="s">
        <v>240</v>
      </c>
      <c r="C73" t="s">
        <v>309</v>
      </c>
      <c r="D73" t="s">
        <v>156</v>
      </c>
      <c r="E73" t="s">
        <v>742</v>
      </c>
      <c r="F73" t="s">
        <v>743</v>
      </c>
      <c r="G73" t="s">
        <v>744</v>
      </c>
      <c r="H73" t="s">
        <v>161</v>
      </c>
      <c r="I73" t="s">
        <v>745</v>
      </c>
      <c r="J73" t="s">
        <v>305</v>
      </c>
      <c r="K73" t="s">
        <v>306</v>
      </c>
      <c r="L73" t="s">
        <v>746</v>
      </c>
    </row>
    <row r="74" spans="1:12" x14ac:dyDescent="0.3">
      <c r="A74" t="s">
        <v>747</v>
      </c>
      <c r="B74" t="s">
        <v>543</v>
      </c>
      <c r="C74" t="s">
        <v>241</v>
      </c>
      <c r="D74" t="s">
        <v>156</v>
      </c>
      <c r="E74" t="s">
        <v>748</v>
      </c>
      <c r="F74" t="s">
        <v>749</v>
      </c>
      <c r="G74" t="s">
        <v>750</v>
      </c>
      <c r="H74" t="s">
        <v>161</v>
      </c>
      <c r="I74" t="s">
        <v>708</v>
      </c>
      <c r="J74" t="s">
        <v>356</v>
      </c>
      <c r="K74" t="s">
        <v>331</v>
      </c>
      <c r="L74" t="s">
        <v>577</v>
      </c>
    </row>
    <row r="75" spans="1:12" x14ac:dyDescent="0.3">
      <c r="A75" t="s">
        <v>751</v>
      </c>
      <c r="B75" t="s">
        <v>378</v>
      </c>
      <c r="C75" t="s">
        <v>204</v>
      </c>
      <c r="D75" t="s">
        <v>156</v>
      </c>
      <c r="E75" t="s">
        <v>752</v>
      </c>
      <c r="F75" t="s">
        <v>753</v>
      </c>
      <c r="G75" t="s">
        <v>754</v>
      </c>
      <c r="H75" t="s">
        <v>755</v>
      </c>
      <c r="I75" t="s">
        <v>756</v>
      </c>
      <c r="J75" t="s">
        <v>305</v>
      </c>
      <c r="K75" t="s">
        <v>316</v>
      </c>
      <c r="L75" t="s">
        <v>757</v>
      </c>
    </row>
    <row r="76" spans="1:12" x14ac:dyDescent="0.3">
      <c r="A76" t="s">
        <v>758</v>
      </c>
      <c r="B76" t="s">
        <v>371</v>
      </c>
      <c r="C76" t="s">
        <v>204</v>
      </c>
      <c r="D76" t="s">
        <v>156</v>
      </c>
      <c r="E76" t="s">
        <v>759</v>
      </c>
      <c r="F76" t="s">
        <v>760</v>
      </c>
      <c r="G76" t="s">
        <v>761</v>
      </c>
      <c r="H76" t="s">
        <v>762</v>
      </c>
      <c r="I76" t="s">
        <v>763</v>
      </c>
      <c r="J76" t="s">
        <v>305</v>
      </c>
      <c r="K76" t="s">
        <v>316</v>
      </c>
      <c r="L76" t="s">
        <v>764</v>
      </c>
    </row>
    <row r="77" spans="1:12" x14ac:dyDescent="0.3">
      <c r="A77" t="s">
        <v>765</v>
      </c>
      <c r="B77" t="s">
        <v>371</v>
      </c>
      <c r="C77" t="s">
        <v>309</v>
      </c>
      <c r="D77" t="s">
        <v>372</v>
      </c>
      <c r="E77" t="s">
        <v>766</v>
      </c>
      <c r="F77" t="s">
        <v>767</v>
      </c>
      <c r="G77" t="s">
        <v>161</v>
      </c>
      <c r="H77" t="s">
        <v>161</v>
      </c>
      <c r="I77" t="s">
        <v>768</v>
      </c>
      <c r="J77" t="s">
        <v>356</v>
      </c>
      <c r="K77" t="s">
        <v>306</v>
      </c>
      <c r="L77" t="s">
        <v>769</v>
      </c>
    </row>
    <row r="78" spans="1:12" x14ac:dyDescent="0.3">
      <c r="A78" t="s">
        <v>770</v>
      </c>
      <c r="B78" t="s">
        <v>240</v>
      </c>
      <c r="C78" t="s">
        <v>204</v>
      </c>
      <c r="D78" t="s">
        <v>156</v>
      </c>
      <c r="E78" t="s">
        <v>771</v>
      </c>
      <c r="F78" t="s">
        <v>772</v>
      </c>
      <c r="G78" t="s">
        <v>773</v>
      </c>
      <c r="H78" t="s">
        <v>161</v>
      </c>
      <c r="I78" t="s">
        <v>649</v>
      </c>
      <c r="J78" t="s">
        <v>305</v>
      </c>
      <c r="K78" t="s">
        <v>331</v>
      </c>
      <c r="L78" t="s">
        <v>774</v>
      </c>
    </row>
    <row r="79" spans="1:12" x14ac:dyDescent="0.3">
      <c r="A79" t="s">
        <v>775</v>
      </c>
      <c r="B79" t="s">
        <v>371</v>
      </c>
      <c r="C79" t="s">
        <v>155</v>
      </c>
      <c r="D79" t="s">
        <v>372</v>
      </c>
      <c r="E79" t="s">
        <v>776</v>
      </c>
      <c r="F79" t="s">
        <v>777</v>
      </c>
      <c r="G79" t="s">
        <v>778</v>
      </c>
      <c r="H79" t="s">
        <v>161</v>
      </c>
      <c r="I79" t="s">
        <v>779</v>
      </c>
      <c r="J79" t="s">
        <v>356</v>
      </c>
      <c r="K79" t="s">
        <v>316</v>
      </c>
      <c r="L79" t="s">
        <v>577</v>
      </c>
    </row>
    <row r="80" spans="1:12" x14ac:dyDescent="0.3">
      <c r="A80" t="s">
        <v>780</v>
      </c>
      <c r="B80" t="s">
        <v>211</v>
      </c>
      <c r="C80" t="s">
        <v>309</v>
      </c>
      <c r="D80" t="s">
        <v>156</v>
      </c>
      <c r="E80" t="s">
        <v>781</v>
      </c>
      <c r="F80" t="s">
        <v>782</v>
      </c>
      <c r="G80" t="s">
        <v>783</v>
      </c>
      <c r="H80" t="s">
        <v>161</v>
      </c>
      <c r="I80" t="s">
        <v>784</v>
      </c>
      <c r="J80" t="s">
        <v>315</v>
      </c>
      <c r="K80" t="s">
        <v>331</v>
      </c>
      <c r="L80" t="s">
        <v>785</v>
      </c>
    </row>
    <row r="81" spans="1:12" x14ac:dyDescent="0.3">
      <c r="A81" t="s">
        <v>786</v>
      </c>
      <c r="B81" t="s">
        <v>240</v>
      </c>
      <c r="C81" t="s">
        <v>155</v>
      </c>
      <c r="D81" t="s">
        <v>450</v>
      </c>
      <c r="E81" t="s">
        <v>787</v>
      </c>
      <c r="F81" t="s">
        <v>788</v>
      </c>
      <c r="G81" t="s">
        <v>789</v>
      </c>
      <c r="H81" t="s">
        <v>161</v>
      </c>
      <c r="I81" t="s">
        <v>790</v>
      </c>
      <c r="J81" t="s">
        <v>305</v>
      </c>
      <c r="K81" t="s">
        <v>316</v>
      </c>
      <c r="L81" t="s">
        <v>791</v>
      </c>
    </row>
    <row r="82" spans="1:12" x14ac:dyDescent="0.3">
      <c r="A82" t="s">
        <v>792</v>
      </c>
      <c r="B82" t="s">
        <v>371</v>
      </c>
      <c r="C82" t="s">
        <v>155</v>
      </c>
      <c r="D82" t="s">
        <v>372</v>
      </c>
      <c r="E82" t="s">
        <v>793</v>
      </c>
      <c r="F82" t="s">
        <v>794</v>
      </c>
      <c r="G82" t="s">
        <v>161</v>
      </c>
      <c r="H82" t="s">
        <v>161</v>
      </c>
      <c r="I82" t="s">
        <v>795</v>
      </c>
      <c r="J82" t="s">
        <v>305</v>
      </c>
      <c r="K82" t="s">
        <v>632</v>
      </c>
      <c r="L82" t="s">
        <v>577</v>
      </c>
    </row>
    <row r="83" spans="1:12" x14ac:dyDescent="0.3">
      <c r="A83" t="s">
        <v>796</v>
      </c>
      <c r="B83" t="s">
        <v>232</v>
      </c>
      <c r="C83" t="s">
        <v>204</v>
      </c>
      <c r="D83" t="s">
        <v>156</v>
      </c>
      <c r="E83" t="s">
        <v>797</v>
      </c>
      <c r="F83" t="s">
        <v>798</v>
      </c>
      <c r="G83" t="s">
        <v>799</v>
      </c>
      <c r="H83" t="s">
        <v>161</v>
      </c>
      <c r="I83" t="s">
        <v>485</v>
      </c>
      <c r="J83" t="s">
        <v>305</v>
      </c>
      <c r="K83" t="s">
        <v>331</v>
      </c>
      <c r="L83" t="s">
        <v>800</v>
      </c>
    </row>
    <row r="84" spans="1:12" x14ac:dyDescent="0.3">
      <c r="A84" t="s">
        <v>801</v>
      </c>
      <c r="B84" t="s">
        <v>240</v>
      </c>
      <c r="C84" t="s">
        <v>170</v>
      </c>
      <c r="D84" t="s">
        <v>156</v>
      </c>
      <c r="E84" t="s">
        <v>802</v>
      </c>
      <c r="F84" t="s">
        <v>803</v>
      </c>
      <c r="G84" t="s">
        <v>804</v>
      </c>
      <c r="H84" t="s">
        <v>161</v>
      </c>
      <c r="I84" t="s">
        <v>343</v>
      </c>
      <c r="J84" t="s">
        <v>305</v>
      </c>
      <c r="K84" t="s">
        <v>316</v>
      </c>
      <c r="L84" t="s">
        <v>805</v>
      </c>
    </row>
    <row r="85" spans="1:12" x14ac:dyDescent="0.3">
      <c r="A85" t="s">
        <v>806</v>
      </c>
      <c r="B85" t="s">
        <v>240</v>
      </c>
      <c r="C85" t="s">
        <v>170</v>
      </c>
      <c r="D85" t="s">
        <v>156</v>
      </c>
      <c r="E85" t="s">
        <v>807</v>
      </c>
      <c r="F85" t="s">
        <v>808</v>
      </c>
      <c r="G85" t="s">
        <v>809</v>
      </c>
      <c r="H85" t="s">
        <v>161</v>
      </c>
      <c r="I85" t="s">
        <v>427</v>
      </c>
      <c r="J85" t="s">
        <v>305</v>
      </c>
      <c r="K85" t="s">
        <v>316</v>
      </c>
      <c r="L85" t="s">
        <v>810</v>
      </c>
    </row>
    <row r="86" spans="1:12" x14ac:dyDescent="0.3">
      <c r="A86" t="s">
        <v>811</v>
      </c>
      <c r="B86" t="s">
        <v>240</v>
      </c>
      <c r="C86" t="s">
        <v>204</v>
      </c>
      <c r="D86" t="s">
        <v>156</v>
      </c>
      <c r="E86" t="s">
        <v>812</v>
      </c>
      <c r="F86" t="s">
        <v>813</v>
      </c>
      <c r="G86" t="s">
        <v>814</v>
      </c>
      <c r="H86" t="s">
        <v>161</v>
      </c>
      <c r="I86" t="s">
        <v>454</v>
      </c>
      <c r="J86" t="s">
        <v>305</v>
      </c>
      <c r="K86" t="s">
        <v>316</v>
      </c>
      <c r="L86" t="s">
        <v>357</v>
      </c>
    </row>
    <row r="87" spans="1:12" x14ac:dyDescent="0.3">
      <c r="A87" t="s">
        <v>815</v>
      </c>
      <c r="B87" t="s">
        <v>543</v>
      </c>
      <c r="C87" t="s">
        <v>816</v>
      </c>
      <c r="D87" t="s">
        <v>156</v>
      </c>
      <c r="E87" t="s">
        <v>817</v>
      </c>
      <c r="F87" t="s">
        <v>818</v>
      </c>
      <c r="G87" t="s">
        <v>819</v>
      </c>
      <c r="H87" t="s">
        <v>161</v>
      </c>
      <c r="I87" t="s">
        <v>329</v>
      </c>
      <c r="J87" t="s">
        <v>356</v>
      </c>
      <c r="K87" t="s">
        <v>331</v>
      </c>
      <c r="L87" t="s">
        <v>820</v>
      </c>
    </row>
    <row r="88" spans="1:12" x14ac:dyDescent="0.3">
      <c r="A88" t="s">
        <v>821</v>
      </c>
      <c r="B88" t="s">
        <v>232</v>
      </c>
      <c r="C88" t="s">
        <v>204</v>
      </c>
      <c r="D88" t="s">
        <v>156</v>
      </c>
      <c r="E88" t="s">
        <v>822</v>
      </c>
      <c r="F88" t="s">
        <v>823</v>
      </c>
      <c r="G88" t="s">
        <v>824</v>
      </c>
      <c r="H88" t="s">
        <v>161</v>
      </c>
      <c r="I88" t="s">
        <v>825</v>
      </c>
      <c r="J88" t="s">
        <v>305</v>
      </c>
      <c r="K88" t="s">
        <v>316</v>
      </c>
      <c r="L88" t="s">
        <v>429</v>
      </c>
    </row>
    <row r="89" spans="1:12" x14ac:dyDescent="0.3">
      <c r="A89" t="s">
        <v>826</v>
      </c>
      <c r="B89" t="s">
        <v>232</v>
      </c>
      <c r="C89" t="s">
        <v>204</v>
      </c>
      <c r="D89" t="s">
        <v>156</v>
      </c>
      <c r="E89" t="s">
        <v>827</v>
      </c>
      <c r="F89" t="s">
        <v>828</v>
      </c>
      <c r="G89" t="s">
        <v>829</v>
      </c>
      <c r="H89" t="s">
        <v>161</v>
      </c>
      <c r="I89" t="s">
        <v>830</v>
      </c>
      <c r="J89" t="s">
        <v>305</v>
      </c>
      <c r="K89" t="s">
        <v>331</v>
      </c>
      <c r="L89" t="s">
        <v>831</v>
      </c>
    </row>
    <row r="90" spans="1:12" x14ac:dyDescent="0.3">
      <c r="A90" t="s">
        <v>832</v>
      </c>
      <c r="B90" t="s">
        <v>232</v>
      </c>
      <c r="C90" t="s">
        <v>204</v>
      </c>
      <c r="D90" t="s">
        <v>156</v>
      </c>
      <c r="E90" t="s">
        <v>833</v>
      </c>
      <c r="F90" t="s">
        <v>834</v>
      </c>
      <c r="G90" t="s">
        <v>835</v>
      </c>
      <c r="H90" t="s">
        <v>161</v>
      </c>
      <c r="I90" t="s">
        <v>836</v>
      </c>
      <c r="J90" t="s">
        <v>305</v>
      </c>
      <c r="K90" t="s">
        <v>316</v>
      </c>
      <c r="L90" t="s">
        <v>697</v>
      </c>
    </row>
    <row r="91" spans="1:12" x14ac:dyDescent="0.3">
      <c r="A91" t="s">
        <v>837</v>
      </c>
      <c r="B91" t="s">
        <v>500</v>
      </c>
      <c r="C91" t="s">
        <v>204</v>
      </c>
      <c r="D91" t="s">
        <v>185</v>
      </c>
      <c r="E91" t="s">
        <v>838</v>
      </c>
      <c r="F91" t="s">
        <v>839</v>
      </c>
      <c r="G91" t="s">
        <v>840</v>
      </c>
      <c r="H91" t="s">
        <v>161</v>
      </c>
      <c r="I91" t="s">
        <v>841</v>
      </c>
      <c r="J91" t="s">
        <v>305</v>
      </c>
      <c r="K91" t="s">
        <v>316</v>
      </c>
      <c r="L91" t="s">
        <v>655</v>
      </c>
    </row>
    <row r="92" spans="1:12" x14ac:dyDescent="0.3">
      <c r="A92" t="s">
        <v>842</v>
      </c>
      <c r="B92" t="s">
        <v>378</v>
      </c>
      <c r="C92" t="s">
        <v>309</v>
      </c>
      <c r="D92" t="s">
        <v>156</v>
      </c>
      <c r="E92" t="s">
        <v>843</v>
      </c>
      <c r="F92" t="s">
        <v>844</v>
      </c>
      <c r="G92" t="s">
        <v>845</v>
      </c>
      <c r="H92" t="s">
        <v>161</v>
      </c>
      <c r="I92" t="s">
        <v>427</v>
      </c>
      <c r="J92" t="s">
        <v>315</v>
      </c>
      <c r="K92" t="s">
        <v>331</v>
      </c>
      <c r="L92" t="s">
        <v>846</v>
      </c>
    </row>
    <row r="93" spans="1:12" x14ac:dyDescent="0.3">
      <c r="A93" t="s">
        <v>847</v>
      </c>
      <c r="B93" t="s">
        <v>469</v>
      </c>
      <c r="C93" t="s">
        <v>309</v>
      </c>
      <c r="D93" t="s">
        <v>185</v>
      </c>
      <c r="E93" t="s">
        <v>848</v>
      </c>
      <c r="F93" t="s">
        <v>849</v>
      </c>
      <c r="G93" t="s">
        <v>850</v>
      </c>
      <c r="H93" t="s">
        <v>486</v>
      </c>
      <c r="I93" t="s">
        <v>851</v>
      </c>
      <c r="J93" t="s">
        <v>305</v>
      </c>
      <c r="K93" t="s">
        <v>331</v>
      </c>
      <c r="L93" t="s">
        <v>852</v>
      </c>
    </row>
    <row r="94" spans="1:12" x14ac:dyDescent="0.3">
      <c r="A94" t="s">
        <v>853</v>
      </c>
      <c r="B94" t="s">
        <v>232</v>
      </c>
      <c r="C94" t="s">
        <v>155</v>
      </c>
      <c r="D94" t="s">
        <v>156</v>
      </c>
      <c r="E94" t="s">
        <v>854</v>
      </c>
      <c r="F94" t="s">
        <v>855</v>
      </c>
      <c r="G94" t="s">
        <v>856</v>
      </c>
      <c r="H94" t="s">
        <v>161</v>
      </c>
      <c r="I94" t="s">
        <v>666</v>
      </c>
      <c r="J94" t="s">
        <v>305</v>
      </c>
      <c r="K94" t="s">
        <v>316</v>
      </c>
      <c r="L94" t="s">
        <v>857</v>
      </c>
    </row>
    <row r="95" spans="1:12" x14ac:dyDescent="0.3">
      <c r="A95" t="s">
        <v>858</v>
      </c>
      <c r="B95" t="s">
        <v>371</v>
      </c>
      <c r="C95" t="s">
        <v>309</v>
      </c>
      <c r="D95" t="s">
        <v>372</v>
      </c>
      <c r="E95" t="s">
        <v>859</v>
      </c>
      <c r="F95" t="s">
        <v>860</v>
      </c>
      <c r="G95" t="s">
        <v>861</v>
      </c>
      <c r="H95" t="s">
        <v>161</v>
      </c>
      <c r="I95" t="s">
        <v>862</v>
      </c>
      <c r="J95" t="s">
        <v>305</v>
      </c>
      <c r="K95" t="s">
        <v>316</v>
      </c>
      <c r="L95" t="s">
        <v>594</v>
      </c>
    </row>
    <row r="96" spans="1:12" x14ac:dyDescent="0.3">
      <c r="A96" t="s">
        <v>863</v>
      </c>
      <c r="B96" t="s">
        <v>371</v>
      </c>
      <c r="C96" t="s">
        <v>309</v>
      </c>
      <c r="D96" t="s">
        <v>372</v>
      </c>
      <c r="E96" t="s">
        <v>864</v>
      </c>
      <c r="F96" t="s">
        <v>865</v>
      </c>
      <c r="G96" t="s">
        <v>866</v>
      </c>
      <c r="H96" t="s">
        <v>161</v>
      </c>
      <c r="I96" t="s">
        <v>867</v>
      </c>
      <c r="J96" t="s">
        <v>305</v>
      </c>
      <c r="K96" t="s">
        <v>632</v>
      </c>
      <c r="L96" t="s">
        <v>868</v>
      </c>
    </row>
    <row r="97" spans="1:12" x14ac:dyDescent="0.3">
      <c r="A97" t="s">
        <v>869</v>
      </c>
      <c r="B97" t="s">
        <v>371</v>
      </c>
      <c r="C97" t="s">
        <v>204</v>
      </c>
      <c r="D97" t="s">
        <v>372</v>
      </c>
      <c r="E97" t="s">
        <v>870</v>
      </c>
      <c r="F97" t="s">
        <v>871</v>
      </c>
      <c r="G97" t="s">
        <v>161</v>
      </c>
      <c r="H97" t="s">
        <v>161</v>
      </c>
      <c r="I97" t="s">
        <v>872</v>
      </c>
      <c r="J97" t="s">
        <v>305</v>
      </c>
      <c r="K97" t="s">
        <v>632</v>
      </c>
      <c r="L97" t="s">
        <v>873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603-106F-4FC7-BE14-86C6DC419955}">
  <sheetPr codeName="Planilha16">
    <tabColor theme="1"/>
  </sheetPr>
  <dimension ref="A1:N55"/>
  <sheetViews>
    <sheetView workbookViewId="0">
      <selection activeCell="D60" sqref="D60"/>
    </sheetView>
  </sheetViews>
  <sheetFormatPr defaultRowHeight="14.4" x14ac:dyDescent="0.3"/>
  <cols>
    <col min="1" max="1" width="7.44140625" bestFit="1" customWidth="1"/>
    <col min="2" max="2" width="12.21875" bestFit="1" customWidth="1"/>
    <col min="3" max="3" width="26.77734375" bestFit="1" customWidth="1"/>
    <col min="4" max="4" width="22.33203125" bestFit="1" customWidth="1"/>
    <col min="5" max="5" width="14.88671875" bestFit="1" customWidth="1"/>
    <col min="6" max="6" width="7.21875" bestFit="1" customWidth="1"/>
    <col min="7" max="7" width="9" bestFit="1" customWidth="1"/>
    <col min="8" max="8" width="13.21875" customWidth="1"/>
    <col min="9" max="9" width="42.21875" bestFit="1" customWidth="1"/>
    <col min="10" max="10" width="65.77734375" bestFit="1" customWidth="1"/>
    <col min="11" max="11" width="41" bestFit="1" customWidth="1"/>
    <col min="12" max="12" width="56.6640625" bestFit="1" customWidth="1"/>
    <col min="13" max="13" width="16.5546875" bestFit="1" customWidth="1"/>
    <col min="14" max="14" width="15.33203125" bestFit="1" customWidth="1"/>
  </cols>
  <sheetData>
    <row r="1" spans="1:14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</row>
    <row r="2" spans="1:14" x14ac:dyDescent="0.3">
      <c r="A2">
        <v>97</v>
      </c>
      <c r="B2">
        <v>9</v>
      </c>
      <c r="C2" t="s">
        <v>153</v>
      </c>
      <c r="D2" t="s">
        <v>154</v>
      </c>
      <c r="E2" t="s">
        <v>155</v>
      </c>
      <c r="F2" t="s">
        <v>156</v>
      </c>
      <c r="G2">
        <v>14930545</v>
      </c>
      <c r="H2">
        <v>2025791226</v>
      </c>
      <c r="I2" t="s">
        <v>157</v>
      </c>
      <c r="J2" t="s">
        <v>158</v>
      </c>
      <c r="K2" t="s">
        <v>159</v>
      </c>
      <c r="L2" t="s">
        <v>160</v>
      </c>
      <c r="M2" s="6">
        <v>45915</v>
      </c>
      <c r="N2" s="54"/>
    </row>
    <row r="3" spans="1:14" hidden="1" x14ac:dyDescent="0.3">
      <c r="A3">
        <v>113</v>
      </c>
      <c r="B3">
        <v>9</v>
      </c>
      <c r="C3" t="s">
        <v>161</v>
      </c>
      <c r="D3" t="s">
        <v>154</v>
      </c>
      <c r="E3" t="s">
        <v>161</v>
      </c>
      <c r="F3" t="s">
        <v>162</v>
      </c>
      <c r="H3">
        <v>2028491874</v>
      </c>
      <c r="I3" t="s">
        <v>163</v>
      </c>
      <c r="J3" t="s">
        <v>164</v>
      </c>
      <c r="K3" t="s">
        <v>165</v>
      </c>
      <c r="L3" t="s">
        <v>166</v>
      </c>
      <c r="M3" s="6">
        <v>45236</v>
      </c>
      <c r="N3" s="54"/>
    </row>
    <row r="4" spans="1:14" hidden="1" x14ac:dyDescent="0.3">
      <c r="A4">
        <v>114</v>
      </c>
      <c r="B4">
        <v>9</v>
      </c>
      <c r="C4" t="s">
        <v>161</v>
      </c>
      <c r="D4" t="s">
        <v>154</v>
      </c>
      <c r="E4" t="s">
        <v>161</v>
      </c>
      <c r="F4" t="s">
        <v>162</v>
      </c>
      <c r="H4">
        <v>2028491876</v>
      </c>
      <c r="I4" t="s">
        <v>167</v>
      </c>
      <c r="J4" t="s">
        <v>164</v>
      </c>
      <c r="K4" t="s">
        <v>168</v>
      </c>
      <c r="L4" t="s">
        <v>166</v>
      </c>
      <c r="M4" s="6">
        <v>45236</v>
      </c>
      <c r="N4" s="54"/>
    </row>
    <row r="5" spans="1:14" x14ac:dyDescent="0.3">
      <c r="A5">
        <v>139</v>
      </c>
      <c r="B5">
        <v>9</v>
      </c>
      <c r="C5" t="s">
        <v>169</v>
      </c>
      <c r="D5" t="s">
        <v>154</v>
      </c>
      <c r="E5" t="s">
        <v>170</v>
      </c>
      <c r="F5" t="s">
        <v>156</v>
      </c>
      <c r="G5">
        <v>13851631</v>
      </c>
      <c r="H5">
        <v>2026320981</v>
      </c>
      <c r="I5" t="s">
        <v>171</v>
      </c>
      <c r="J5" t="s">
        <v>172</v>
      </c>
      <c r="K5" t="s">
        <v>173</v>
      </c>
      <c r="L5" t="s">
        <v>174</v>
      </c>
      <c r="M5" s="6">
        <v>45289</v>
      </c>
      <c r="N5" s="54"/>
    </row>
    <row r="6" spans="1:14" x14ac:dyDescent="0.3">
      <c r="A6">
        <v>149</v>
      </c>
      <c r="B6">
        <v>9</v>
      </c>
      <c r="C6" t="s">
        <v>153</v>
      </c>
      <c r="D6" t="s">
        <v>154</v>
      </c>
      <c r="E6" t="s">
        <v>170</v>
      </c>
      <c r="F6" t="s">
        <v>175</v>
      </c>
      <c r="G6">
        <v>13861282</v>
      </c>
      <c r="H6">
        <v>2026428449</v>
      </c>
      <c r="I6" t="s">
        <v>176</v>
      </c>
      <c r="J6" t="s">
        <v>172</v>
      </c>
      <c r="K6" t="s">
        <v>177</v>
      </c>
      <c r="L6" t="s">
        <v>178</v>
      </c>
      <c r="M6" s="6">
        <v>45748</v>
      </c>
      <c r="N6" s="54"/>
    </row>
    <row r="7" spans="1:14" x14ac:dyDescent="0.3">
      <c r="A7">
        <v>191</v>
      </c>
      <c r="B7">
        <v>9</v>
      </c>
      <c r="C7" t="s">
        <v>179</v>
      </c>
      <c r="D7" t="s">
        <v>154</v>
      </c>
      <c r="E7" t="s">
        <v>180</v>
      </c>
      <c r="F7" t="s">
        <v>156</v>
      </c>
      <c r="G7">
        <v>13537879</v>
      </c>
      <c r="H7">
        <v>2025892472</v>
      </c>
      <c r="I7" t="s">
        <v>181</v>
      </c>
      <c r="J7" t="s">
        <v>172</v>
      </c>
      <c r="K7" t="s">
        <v>182</v>
      </c>
      <c r="L7" t="s">
        <v>183</v>
      </c>
      <c r="M7" s="6">
        <v>45635</v>
      </c>
      <c r="N7" s="54"/>
    </row>
    <row r="8" spans="1:14" hidden="1" x14ac:dyDescent="0.3">
      <c r="A8">
        <v>220</v>
      </c>
      <c r="B8">
        <v>8</v>
      </c>
      <c r="C8" t="s">
        <v>184</v>
      </c>
      <c r="D8" t="s">
        <v>154</v>
      </c>
      <c r="E8" t="s">
        <v>170</v>
      </c>
      <c r="F8" t="s">
        <v>185</v>
      </c>
      <c r="G8">
        <v>14018477</v>
      </c>
      <c r="H8">
        <v>2026616934</v>
      </c>
      <c r="I8" t="s">
        <v>186</v>
      </c>
      <c r="J8" t="s">
        <v>172</v>
      </c>
      <c r="K8" t="s">
        <v>187</v>
      </c>
      <c r="L8" t="s">
        <v>188</v>
      </c>
      <c r="M8" s="6">
        <v>45960</v>
      </c>
      <c r="N8" s="54"/>
    </row>
    <row r="9" spans="1:14" hidden="1" x14ac:dyDescent="0.3">
      <c r="A9">
        <v>454</v>
      </c>
      <c r="B9">
        <v>8</v>
      </c>
      <c r="C9" t="s">
        <v>161</v>
      </c>
      <c r="D9" t="s">
        <v>154</v>
      </c>
      <c r="E9" t="s">
        <v>161</v>
      </c>
      <c r="F9" t="s">
        <v>162</v>
      </c>
      <c r="H9">
        <v>2028103381</v>
      </c>
      <c r="I9" t="s">
        <v>189</v>
      </c>
      <c r="J9" t="s">
        <v>190</v>
      </c>
      <c r="K9" t="s">
        <v>191</v>
      </c>
      <c r="L9" t="s">
        <v>192</v>
      </c>
      <c r="M9" s="6">
        <v>45190</v>
      </c>
      <c r="N9" s="54"/>
    </row>
    <row r="10" spans="1:14" x14ac:dyDescent="0.3">
      <c r="A10">
        <v>580</v>
      </c>
      <c r="B10">
        <v>7</v>
      </c>
      <c r="C10" t="s">
        <v>193</v>
      </c>
      <c r="D10" t="s">
        <v>154</v>
      </c>
      <c r="E10" t="s">
        <v>170</v>
      </c>
      <c r="F10" t="s">
        <v>175</v>
      </c>
      <c r="G10">
        <v>15469190</v>
      </c>
      <c r="H10">
        <v>2028419135</v>
      </c>
      <c r="I10" t="s">
        <v>194</v>
      </c>
      <c r="J10" t="s">
        <v>195</v>
      </c>
      <c r="K10" t="s">
        <v>182</v>
      </c>
      <c r="L10" t="s">
        <v>196</v>
      </c>
      <c r="M10" s="6">
        <v>45576</v>
      </c>
      <c r="N10" s="54"/>
    </row>
    <row r="11" spans="1:14" x14ac:dyDescent="0.3">
      <c r="A11">
        <v>584</v>
      </c>
      <c r="B11">
        <v>7</v>
      </c>
      <c r="C11" t="s">
        <v>197</v>
      </c>
      <c r="D11" t="s">
        <v>154</v>
      </c>
      <c r="E11" t="s">
        <v>155</v>
      </c>
      <c r="F11" t="s">
        <v>156</v>
      </c>
      <c r="G11">
        <v>14464812</v>
      </c>
      <c r="H11">
        <v>2027525610</v>
      </c>
      <c r="I11" t="s">
        <v>198</v>
      </c>
      <c r="J11" t="s">
        <v>195</v>
      </c>
      <c r="K11" t="s">
        <v>199</v>
      </c>
      <c r="L11" t="s">
        <v>200</v>
      </c>
      <c r="M11" s="6">
        <v>45655</v>
      </c>
      <c r="N11" s="54"/>
    </row>
    <row r="12" spans="1:14" x14ac:dyDescent="0.3">
      <c r="A12">
        <v>638</v>
      </c>
      <c r="B12">
        <v>7</v>
      </c>
      <c r="C12" t="s">
        <v>169</v>
      </c>
      <c r="D12" t="s">
        <v>154</v>
      </c>
      <c r="E12" t="s">
        <v>155</v>
      </c>
      <c r="F12" t="s">
        <v>156</v>
      </c>
      <c r="G12">
        <v>13563484</v>
      </c>
      <c r="H12">
        <v>2025773826</v>
      </c>
      <c r="I12" t="s">
        <v>201</v>
      </c>
      <c r="J12" t="s">
        <v>202</v>
      </c>
      <c r="K12" t="s">
        <v>203</v>
      </c>
      <c r="L12" t="s">
        <v>160</v>
      </c>
      <c r="M12" s="6">
        <v>44694</v>
      </c>
      <c r="N12" s="54"/>
    </row>
    <row r="13" spans="1:14" x14ac:dyDescent="0.3">
      <c r="A13">
        <v>859</v>
      </c>
      <c r="B13">
        <v>5</v>
      </c>
      <c r="C13" t="s">
        <v>184</v>
      </c>
      <c r="D13" t="s">
        <v>154</v>
      </c>
      <c r="E13" t="s">
        <v>204</v>
      </c>
      <c r="F13" t="s">
        <v>156</v>
      </c>
      <c r="G13">
        <v>14112119</v>
      </c>
      <c r="H13">
        <v>2027102054</v>
      </c>
      <c r="I13" t="s">
        <v>205</v>
      </c>
      <c r="J13" t="s">
        <v>206</v>
      </c>
      <c r="K13" t="s">
        <v>207</v>
      </c>
      <c r="L13" t="s">
        <v>208</v>
      </c>
      <c r="M13" s="6">
        <v>44834</v>
      </c>
      <c r="N13" s="54">
        <v>44942</v>
      </c>
    </row>
    <row r="14" spans="1:14" x14ac:dyDescent="0.3">
      <c r="A14">
        <v>1036</v>
      </c>
      <c r="B14">
        <v>5</v>
      </c>
      <c r="C14" t="s">
        <v>209</v>
      </c>
      <c r="D14" t="s">
        <v>154</v>
      </c>
      <c r="E14" t="s">
        <v>155</v>
      </c>
      <c r="F14" t="s">
        <v>175</v>
      </c>
      <c r="G14">
        <v>14714987</v>
      </c>
      <c r="H14">
        <v>2027985119</v>
      </c>
      <c r="I14" t="s">
        <v>210</v>
      </c>
      <c r="J14" t="s">
        <v>206</v>
      </c>
      <c r="K14" t="s">
        <v>203</v>
      </c>
      <c r="L14" t="s">
        <v>196</v>
      </c>
      <c r="M14" s="6">
        <v>45332</v>
      </c>
      <c r="N14" s="54"/>
    </row>
    <row r="15" spans="1:14" hidden="1" x14ac:dyDescent="0.3">
      <c r="A15">
        <v>1068</v>
      </c>
      <c r="B15">
        <v>5</v>
      </c>
      <c r="C15" t="s">
        <v>209</v>
      </c>
      <c r="D15" t="s">
        <v>211</v>
      </c>
      <c r="E15" t="s">
        <v>155</v>
      </c>
      <c r="F15" t="s">
        <v>156</v>
      </c>
      <c r="G15">
        <v>15078048</v>
      </c>
      <c r="H15">
        <v>2028638618</v>
      </c>
      <c r="I15" t="s">
        <v>212</v>
      </c>
      <c r="J15" t="s">
        <v>206</v>
      </c>
      <c r="K15" t="s">
        <v>213</v>
      </c>
      <c r="L15" t="s">
        <v>214</v>
      </c>
      <c r="M15" s="6">
        <v>45457</v>
      </c>
      <c r="N15" s="54"/>
    </row>
    <row r="16" spans="1:14" hidden="1" x14ac:dyDescent="0.3">
      <c r="A16">
        <v>1069</v>
      </c>
      <c r="B16">
        <v>5</v>
      </c>
      <c r="C16" t="s">
        <v>209</v>
      </c>
      <c r="D16" t="s">
        <v>211</v>
      </c>
      <c r="E16" t="s">
        <v>155</v>
      </c>
      <c r="F16" t="s">
        <v>156</v>
      </c>
      <c r="G16">
        <v>15077984</v>
      </c>
      <c r="H16">
        <v>2028638754</v>
      </c>
      <c r="I16" t="s">
        <v>215</v>
      </c>
      <c r="J16" t="s">
        <v>206</v>
      </c>
      <c r="K16" t="s">
        <v>182</v>
      </c>
      <c r="L16" t="s">
        <v>214</v>
      </c>
      <c r="M16" s="6">
        <v>45457</v>
      </c>
      <c r="N16" s="54"/>
    </row>
    <row r="17" spans="1:14" hidden="1" x14ac:dyDescent="0.3">
      <c r="A17">
        <v>1070</v>
      </c>
      <c r="B17">
        <v>5</v>
      </c>
      <c r="C17" t="s">
        <v>209</v>
      </c>
      <c r="D17" t="s">
        <v>211</v>
      </c>
      <c r="E17" t="s">
        <v>155</v>
      </c>
      <c r="F17" t="s">
        <v>156</v>
      </c>
      <c r="G17">
        <v>15077991</v>
      </c>
      <c r="H17">
        <v>2028639386</v>
      </c>
      <c r="I17" t="s">
        <v>216</v>
      </c>
      <c r="J17" t="s">
        <v>206</v>
      </c>
      <c r="K17" t="s">
        <v>217</v>
      </c>
      <c r="L17" t="s">
        <v>218</v>
      </c>
      <c r="M17" s="6">
        <v>45457</v>
      </c>
      <c r="N17" s="54"/>
    </row>
    <row r="18" spans="1:14" hidden="1" x14ac:dyDescent="0.3">
      <c r="A18">
        <v>1071</v>
      </c>
      <c r="B18">
        <v>5</v>
      </c>
      <c r="C18" t="s">
        <v>209</v>
      </c>
      <c r="D18" t="s">
        <v>211</v>
      </c>
      <c r="E18" t="s">
        <v>155</v>
      </c>
      <c r="F18" t="s">
        <v>156</v>
      </c>
      <c r="G18">
        <v>15077993</v>
      </c>
      <c r="H18">
        <v>2028752412</v>
      </c>
      <c r="I18" t="s">
        <v>219</v>
      </c>
      <c r="J18" t="s">
        <v>206</v>
      </c>
      <c r="K18" t="s">
        <v>213</v>
      </c>
      <c r="L18" t="s">
        <v>220</v>
      </c>
      <c r="M18" s="6">
        <v>45457</v>
      </c>
      <c r="N18" s="54"/>
    </row>
    <row r="19" spans="1:14" hidden="1" x14ac:dyDescent="0.3">
      <c r="A19">
        <v>1072</v>
      </c>
      <c r="B19">
        <v>5</v>
      </c>
      <c r="C19" t="s">
        <v>209</v>
      </c>
      <c r="D19" t="s">
        <v>211</v>
      </c>
      <c r="E19" t="s">
        <v>155</v>
      </c>
      <c r="F19" t="s">
        <v>156</v>
      </c>
      <c r="G19">
        <v>15077986</v>
      </c>
      <c r="H19">
        <v>2028752973</v>
      </c>
      <c r="I19" t="s">
        <v>221</v>
      </c>
      <c r="J19" t="s">
        <v>206</v>
      </c>
      <c r="K19" t="s">
        <v>182</v>
      </c>
      <c r="L19" t="s">
        <v>218</v>
      </c>
      <c r="M19" s="6">
        <v>45457</v>
      </c>
      <c r="N19" s="54"/>
    </row>
    <row r="20" spans="1:14" hidden="1" x14ac:dyDescent="0.3">
      <c r="A20">
        <v>1073</v>
      </c>
      <c r="B20">
        <v>5</v>
      </c>
      <c r="C20" t="s">
        <v>209</v>
      </c>
      <c r="D20" t="s">
        <v>211</v>
      </c>
      <c r="E20" t="s">
        <v>155</v>
      </c>
      <c r="F20" t="s">
        <v>156</v>
      </c>
      <c r="G20">
        <v>15077995</v>
      </c>
      <c r="H20">
        <v>2028753049</v>
      </c>
      <c r="I20" t="s">
        <v>222</v>
      </c>
      <c r="J20" t="s">
        <v>206</v>
      </c>
      <c r="K20" t="s">
        <v>182</v>
      </c>
      <c r="L20" t="s">
        <v>214</v>
      </c>
      <c r="M20" s="6">
        <v>45457</v>
      </c>
      <c r="N20" s="54"/>
    </row>
    <row r="21" spans="1:14" hidden="1" x14ac:dyDescent="0.3">
      <c r="A21">
        <v>1074</v>
      </c>
      <c r="B21">
        <v>5</v>
      </c>
      <c r="C21" t="s">
        <v>209</v>
      </c>
      <c r="D21" t="s">
        <v>211</v>
      </c>
      <c r="E21" t="s">
        <v>155</v>
      </c>
      <c r="F21" t="s">
        <v>156</v>
      </c>
      <c r="G21">
        <v>15078041</v>
      </c>
      <c r="H21">
        <v>2028753146</v>
      </c>
      <c r="I21" t="s">
        <v>223</v>
      </c>
      <c r="J21" t="s">
        <v>206</v>
      </c>
      <c r="K21" t="s">
        <v>182</v>
      </c>
      <c r="L21" t="s">
        <v>218</v>
      </c>
      <c r="M21" s="6">
        <v>45457</v>
      </c>
      <c r="N21" s="54"/>
    </row>
    <row r="22" spans="1:14" hidden="1" x14ac:dyDescent="0.3">
      <c r="A22">
        <v>1075</v>
      </c>
      <c r="B22">
        <v>5</v>
      </c>
      <c r="C22" t="s">
        <v>209</v>
      </c>
      <c r="D22" t="s">
        <v>211</v>
      </c>
      <c r="E22" t="s">
        <v>155</v>
      </c>
      <c r="F22" t="s">
        <v>156</v>
      </c>
      <c r="G22">
        <v>15078099</v>
      </c>
      <c r="H22">
        <v>2028753206</v>
      </c>
      <c r="I22" t="s">
        <v>224</v>
      </c>
      <c r="J22" t="s">
        <v>206</v>
      </c>
      <c r="K22" t="s">
        <v>213</v>
      </c>
      <c r="L22" t="s">
        <v>214</v>
      </c>
      <c r="M22" s="6">
        <v>45457</v>
      </c>
      <c r="N22" s="54"/>
    </row>
    <row r="23" spans="1:14" hidden="1" x14ac:dyDescent="0.3">
      <c r="A23">
        <v>1091</v>
      </c>
      <c r="B23">
        <v>5</v>
      </c>
      <c r="C23" t="s">
        <v>209</v>
      </c>
      <c r="D23" t="s">
        <v>211</v>
      </c>
      <c r="E23" t="s">
        <v>155</v>
      </c>
      <c r="F23" t="s">
        <v>156</v>
      </c>
      <c r="G23">
        <v>15077982</v>
      </c>
      <c r="H23">
        <v>2028638363</v>
      </c>
      <c r="I23" t="s">
        <v>225</v>
      </c>
      <c r="J23" t="s">
        <v>206</v>
      </c>
      <c r="K23" t="s">
        <v>226</v>
      </c>
      <c r="L23" t="s">
        <v>218</v>
      </c>
      <c r="M23" s="6">
        <v>45504</v>
      </c>
      <c r="N23" s="54"/>
    </row>
    <row r="24" spans="1:14" hidden="1" x14ac:dyDescent="0.3">
      <c r="A24">
        <v>1556</v>
      </c>
      <c r="B24">
        <v>2</v>
      </c>
      <c r="C24" t="s">
        <v>209</v>
      </c>
      <c r="D24" t="s">
        <v>154</v>
      </c>
      <c r="E24" t="s">
        <v>155</v>
      </c>
      <c r="F24" t="s">
        <v>185</v>
      </c>
      <c r="G24">
        <v>15930674</v>
      </c>
      <c r="H24">
        <v>2030352308</v>
      </c>
      <c r="I24" t="s">
        <v>227</v>
      </c>
      <c r="J24" t="s">
        <v>206</v>
      </c>
      <c r="K24" t="s">
        <v>182</v>
      </c>
      <c r="L24" t="s">
        <v>196</v>
      </c>
      <c r="M24" s="6">
        <v>45930</v>
      </c>
      <c r="N24" s="54"/>
    </row>
    <row r="25" spans="1:14" x14ac:dyDescent="0.3">
      <c r="A25">
        <v>1575</v>
      </c>
      <c r="B25">
        <v>2</v>
      </c>
      <c r="C25" t="s">
        <v>209</v>
      </c>
      <c r="D25" t="s">
        <v>154</v>
      </c>
      <c r="E25" t="s">
        <v>180</v>
      </c>
      <c r="F25" t="s">
        <v>156</v>
      </c>
      <c r="G25">
        <v>14673383</v>
      </c>
      <c r="H25">
        <v>2028038799</v>
      </c>
      <c r="I25" t="s">
        <v>228</v>
      </c>
      <c r="J25" t="s">
        <v>206</v>
      </c>
      <c r="K25" t="s">
        <v>182</v>
      </c>
      <c r="L25" t="s">
        <v>196</v>
      </c>
      <c r="M25" s="6">
        <v>45931</v>
      </c>
      <c r="N25" s="54"/>
    </row>
    <row r="26" spans="1:14" x14ac:dyDescent="0.3">
      <c r="A26">
        <v>1655</v>
      </c>
      <c r="B26">
        <v>2</v>
      </c>
      <c r="C26" t="s">
        <v>179</v>
      </c>
      <c r="D26" t="s">
        <v>154</v>
      </c>
      <c r="E26" t="s">
        <v>155</v>
      </c>
      <c r="F26" t="s">
        <v>156</v>
      </c>
      <c r="G26">
        <v>13582392</v>
      </c>
      <c r="H26">
        <v>2025825254</v>
      </c>
      <c r="I26" t="s">
        <v>229</v>
      </c>
      <c r="J26" t="s">
        <v>179</v>
      </c>
      <c r="K26" t="s">
        <v>177</v>
      </c>
      <c r="L26" t="s">
        <v>230</v>
      </c>
      <c r="M26" s="6">
        <v>44614</v>
      </c>
      <c r="N26" s="54"/>
    </row>
    <row r="27" spans="1:14" hidden="1" x14ac:dyDescent="0.3">
      <c r="A27">
        <v>1664</v>
      </c>
      <c r="B27">
        <v>2</v>
      </c>
      <c r="C27" t="s">
        <v>231</v>
      </c>
      <c r="D27" t="s">
        <v>232</v>
      </c>
      <c r="E27" t="s">
        <v>204</v>
      </c>
      <c r="F27" t="s">
        <v>156</v>
      </c>
      <c r="G27">
        <v>14302682</v>
      </c>
      <c r="H27">
        <v>2027165948</v>
      </c>
      <c r="I27" t="s">
        <v>233</v>
      </c>
      <c r="J27" t="s">
        <v>179</v>
      </c>
      <c r="K27" t="s">
        <v>187</v>
      </c>
      <c r="L27" t="s">
        <v>234</v>
      </c>
      <c r="M27" s="6">
        <v>44925</v>
      </c>
      <c r="N27" s="54"/>
    </row>
    <row r="28" spans="1:14" hidden="1" x14ac:dyDescent="0.3">
      <c r="A28">
        <v>1742</v>
      </c>
      <c r="B28">
        <v>2</v>
      </c>
      <c r="C28" t="s">
        <v>153</v>
      </c>
      <c r="D28" t="s">
        <v>211</v>
      </c>
      <c r="E28" t="s">
        <v>180</v>
      </c>
      <c r="F28" t="s">
        <v>156</v>
      </c>
      <c r="G28">
        <v>13243390</v>
      </c>
      <c r="H28">
        <v>2025698758</v>
      </c>
      <c r="I28" t="s">
        <v>235</v>
      </c>
      <c r="J28" t="s">
        <v>179</v>
      </c>
      <c r="K28" t="s">
        <v>236</v>
      </c>
      <c r="L28" t="s">
        <v>218</v>
      </c>
      <c r="M28" s="6"/>
      <c r="N28" s="54"/>
    </row>
    <row r="29" spans="1:14" hidden="1" x14ac:dyDescent="0.3">
      <c r="A29">
        <v>1781</v>
      </c>
      <c r="B29">
        <v>2</v>
      </c>
      <c r="C29" t="s">
        <v>237</v>
      </c>
      <c r="D29" t="s">
        <v>211</v>
      </c>
      <c r="E29" t="s">
        <v>204</v>
      </c>
      <c r="F29" t="s">
        <v>156</v>
      </c>
      <c r="G29">
        <v>13855375</v>
      </c>
      <c r="H29">
        <v>2026444798</v>
      </c>
      <c r="I29" t="s">
        <v>238</v>
      </c>
      <c r="J29" t="s">
        <v>179</v>
      </c>
      <c r="K29" t="s">
        <v>239</v>
      </c>
      <c r="L29" t="s">
        <v>220</v>
      </c>
      <c r="M29" s="6">
        <v>44735</v>
      </c>
      <c r="N29" s="54"/>
    </row>
    <row r="30" spans="1:14" hidden="1" x14ac:dyDescent="0.3">
      <c r="A30">
        <v>2061</v>
      </c>
      <c r="B30">
        <v>2</v>
      </c>
      <c r="C30" t="s">
        <v>179</v>
      </c>
      <c r="D30" t="s">
        <v>240</v>
      </c>
      <c r="E30" t="s">
        <v>241</v>
      </c>
      <c r="F30" t="s">
        <v>241</v>
      </c>
      <c r="G30">
        <v>15618294</v>
      </c>
      <c r="H30">
        <v>2029640865</v>
      </c>
      <c r="I30" t="s">
        <v>242</v>
      </c>
      <c r="J30" t="s">
        <v>179</v>
      </c>
      <c r="K30" t="s">
        <v>243</v>
      </c>
      <c r="L30" t="s">
        <v>244</v>
      </c>
      <c r="M30" s="6">
        <v>45646</v>
      </c>
      <c r="N30" s="54"/>
    </row>
    <row r="31" spans="1:14" x14ac:dyDescent="0.3">
      <c r="A31">
        <v>3922</v>
      </c>
      <c r="B31">
        <v>1</v>
      </c>
      <c r="C31" t="s">
        <v>153</v>
      </c>
      <c r="D31" t="s">
        <v>154</v>
      </c>
      <c r="E31" t="s">
        <v>204</v>
      </c>
      <c r="F31" t="s">
        <v>156</v>
      </c>
      <c r="G31">
        <v>15681144</v>
      </c>
      <c r="H31">
        <v>2030652880</v>
      </c>
      <c r="I31" t="s">
        <v>245</v>
      </c>
      <c r="J31" t="s">
        <v>246</v>
      </c>
      <c r="K31" t="s">
        <v>247</v>
      </c>
      <c r="L31" t="s">
        <v>248</v>
      </c>
      <c r="M31" s="6">
        <v>46309</v>
      </c>
      <c r="N31" s="54">
        <v>45560</v>
      </c>
    </row>
    <row r="32" spans="1:14" hidden="1" x14ac:dyDescent="0.3">
      <c r="A32">
        <v>3979</v>
      </c>
      <c r="B32">
        <v>1</v>
      </c>
      <c r="C32" t="s">
        <v>209</v>
      </c>
      <c r="D32" t="s">
        <v>154</v>
      </c>
      <c r="E32" t="s">
        <v>155</v>
      </c>
      <c r="F32" t="s">
        <v>185</v>
      </c>
      <c r="G32">
        <v>15456409</v>
      </c>
      <c r="H32">
        <v>2029416263</v>
      </c>
      <c r="I32" t="s">
        <v>249</v>
      </c>
      <c r="J32" t="s">
        <v>206</v>
      </c>
      <c r="K32" t="s">
        <v>250</v>
      </c>
      <c r="L32" t="s">
        <v>160</v>
      </c>
      <c r="M32" s="6">
        <v>45960</v>
      </c>
      <c r="N32" s="54"/>
    </row>
    <row r="33" spans="1:14" hidden="1" x14ac:dyDescent="0.3">
      <c r="A33">
        <v>4053</v>
      </c>
      <c r="B33">
        <v>1</v>
      </c>
      <c r="C33" t="s">
        <v>209</v>
      </c>
      <c r="D33" t="s">
        <v>154</v>
      </c>
      <c r="E33" t="s">
        <v>180</v>
      </c>
      <c r="F33" t="s">
        <v>185</v>
      </c>
      <c r="G33">
        <v>15663816</v>
      </c>
      <c r="H33">
        <v>2029749382</v>
      </c>
      <c r="I33" t="s">
        <v>251</v>
      </c>
      <c r="J33" t="s">
        <v>206</v>
      </c>
      <c r="K33" t="s">
        <v>177</v>
      </c>
      <c r="L33" t="s">
        <v>252</v>
      </c>
      <c r="M33" s="6">
        <v>46018</v>
      </c>
      <c r="N33" s="54"/>
    </row>
    <row r="34" spans="1:14" hidden="1" x14ac:dyDescent="0.3">
      <c r="A34">
        <v>4099</v>
      </c>
      <c r="B34">
        <v>1</v>
      </c>
      <c r="C34" t="s">
        <v>209</v>
      </c>
      <c r="D34" t="s">
        <v>154</v>
      </c>
      <c r="E34" t="s">
        <v>180</v>
      </c>
      <c r="F34" t="s">
        <v>185</v>
      </c>
      <c r="G34">
        <v>16012131</v>
      </c>
      <c r="H34">
        <v>2030426663</v>
      </c>
      <c r="I34" t="s">
        <v>253</v>
      </c>
      <c r="J34" t="s">
        <v>206</v>
      </c>
      <c r="K34" t="s">
        <v>254</v>
      </c>
      <c r="L34" t="s">
        <v>160</v>
      </c>
      <c r="M34" s="6">
        <v>46210</v>
      </c>
      <c r="N34" s="54"/>
    </row>
    <row r="35" spans="1:14" hidden="1" x14ac:dyDescent="0.3">
      <c r="A35">
        <v>4137</v>
      </c>
      <c r="B35">
        <v>1</v>
      </c>
      <c r="C35" t="s">
        <v>209</v>
      </c>
      <c r="D35" t="s">
        <v>154</v>
      </c>
      <c r="E35" t="s">
        <v>155</v>
      </c>
      <c r="F35" t="s">
        <v>185</v>
      </c>
      <c r="G35">
        <v>15456408</v>
      </c>
      <c r="H35">
        <v>2029416264</v>
      </c>
      <c r="I35" t="s">
        <v>255</v>
      </c>
      <c r="J35" t="s">
        <v>206</v>
      </c>
      <c r="K35" t="s">
        <v>256</v>
      </c>
      <c r="L35" t="s">
        <v>160</v>
      </c>
      <c r="M35" s="6">
        <v>45960</v>
      </c>
      <c r="N35" s="54"/>
    </row>
    <row r="36" spans="1:14" hidden="1" x14ac:dyDescent="0.3">
      <c r="A36">
        <v>4138</v>
      </c>
      <c r="B36">
        <v>1</v>
      </c>
      <c r="C36" t="s">
        <v>209</v>
      </c>
      <c r="D36" t="s">
        <v>154</v>
      </c>
      <c r="E36" t="s">
        <v>155</v>
      </c>
      <c r="F36" t="s">
        <v>185</v>
      </c>
      <c r="G36">
        <v>15456351</v>
      </c>
      <c r="H36">
        <v>2029416265</v>
      </c>
      <c r="I36" t="s">
        <v>257</v>
      </c>
      <c r="J36" t="s">
        <v>206</v>
      </c>
      <c r="K36" t="s">
        <v>256</v>
      </c>
      <c r="L36" t="s">
        <v>196</v>
      </c>
      <c r="M36" s="6">
        <v>45960</v>
      </c>
      <c r="N36" s="54"/>
    </row>
    <row r="37" spans="1:14" hidden="1" x14ac:dyDescent="0.3">
      <c r="A37">
        <v>4141</v>
      </c>
      <c r="B37">
        <v>1</v>
      </c>
      <c r="C37" t="s">
        <v>209</v>
      </c>
      <c r="D37" t="s">
        <v>154</v>
      </c>
      <c r="E37" t="s">
        <v>155</v>
      </c>
      <c r="F37" t="s">
        <v>185</v>
      </c>
      <c r="G37">
        <v>15455967</v>
      </c>
      <c r="H37">
        <v>2029416470</v>
      </c>
      <c r="I37" t="s">
        <v>258</v>
      </c>
      <c r="J37" t="s">
        <v>206</v>
      </c>
      <c r="K37" t="s">
        <v>203</v>
      </c>
      <c r="L37" t="s">
        <v>160</v>
      </c>
      <c r="M37" s="6">
        <v>45960</v>
      </c>
      <c r="N37" s="54"/>
    </row>
    <row r="38" spans="1:14" hidden="1" x14ac:dyDescent="0.3">
      <c r="A38">
        <v>4143</v>
      </c>
      <c r="B38">
        <v>1</v>
      </c>
      <c r="C38" t="s">
        <v>209</v>
      </c>
      <c r="D38" t="s">
        <v>154</v>
      </c>
      <c r="E38" t="s">
        <v>155</v>
      </c>
      <c r="F38" t="s">
        <v>185</v>
      </c>
      <c r="G38">
        <v>15457932</v>
      </c>
      <c r="H38">
        <v>2029418990</v>
      </c>
      <c r="I38" t="s">
        <v>259</v>
      </c>
      <c r="J38" t="s">
        <v>206</v>
      </c>
      <c r="K38" t="s">
        <v>256</v>
      </c>
      <c r="L38" t="s">
        <v>160</v>
      </c>
      <c r="M38" s="6">
        <v>45960</v>
      </c>
      <c r="N38" s="54"/>
    </row>
    <row r="39" spans="1:14" hidden="1" x14ac:dyDescent="0.3">
      <c r="A39">
        <v>4157</v>
      </c>
      <c r="B39">
        <v>1</v>
      </c>
      <c r="C39" t="s">
        <v>209</v>
      </c>
      <c r="D39" t="s">
        <v>154</v>
      </c>
      <c r="E39" t="s">
        <v>155</v>
      </c>
      <c r="F39" t="s">
        <v>185</v>
      </c>
      <c r="G39">
        <v>15814728</v>
      </c>
      <c r="H39">
        <v>2030060396</v>
      </c>
      <c r="I39" t="s">
        <v>260</v>
      </c>
      <c r="J39" t="s">
        <v>206</v>
      </c>
      <c r="K39" t="s">
        <v>247</v>
      </c>
      <c r="L39" t="s">
        <v>261</v>
      </c>
      <c r="M39" s="6">
        <v>45960</v>
      </c>
      <c r="N39" s="54"/>
    </row>
    <row r="40" spans="1:14" hidden="1" x14ac:dyDescent="0.3">
      <c r="A40">
        <v>4166</v>
      </c>
      <c r="B40">
        <v>1</v>
      </c>
      <c r="C40" t="s">
        <v>184</v>
      </c>
      <c r="D40" t="s">
        <v>154</v>
      </c>
      <c r="E40" t="s">
        <v>155</v>
      </c>
      <c r="F40" t="s">
        <v>185</v>
      </c>
      <c r="G40">
        <v>16033458</v>
      </c>
      <c r="H40">
        <v>2030541831</v>
      </c>
      <c r="I40" t="s">
        <v>262</v>
      </c>
      <c r="J40" t="s">
        <v>206</v>
      </c>
      <c r="K40" t="s">
        <v>182</v>
      </c>
      <c r="L40" t="s">
        <v>196</v>
      </c>
      <c r="M40" s="6">
        <v>45960</v>
      </c>
      <c r="N40" s="54"/>
    </row>
    <row r="41" spans="1:14" hidden="1" x14ac:dyDescent="0.3">
      <c r="A41">
        <v>4370</v>
      </c>
      <c r="B41">
        <v>1</v>
      </c>
      <c r="C41" t="s">
        <v>184</v>
      </c>
      <c r="D41" t="s">
        <v>154</v>
      </c>
      <c r="E41" t="s">
        <v>155</v>
      </c>
      <c r="F41" t="s">
        <v>185</v>
      </c>
      <c r="G41">
        <v>15944264</v>
      </c>
      <c r="H41">
        <v>2030368488</v>
      </c>
      <c r="I41" t="s">
        <v>263</v>
      </c>
      <c r="J41" t="s">
        <v>206</v>
      </c>
      <c r="K41" t="s">
        <v>182</v>
      </c>
      <c r="L41" t="s">
        <v>264</v>
      </c>
      <c r="M41" s="6">
        <v>46086</v>
      </c>
      <c r="N41" s="54"/>
    </row>
    <row r="42" spans="1:14" hidden="1" x14ac:dyDescent="0.3">
      <c r="A42">
        <v>4373</v>
      </c>
      <c r="B42">
        <v>1</v>
      </c>
      <c r="C42" t="s">
        <v>184</v>
      </c>
      <c r="D42" t="s">
        <v>154</v>
      </c>
      <c r="E42" t="s">
        <v>180</v>
      </c>
      <c r="F42" t="s">
        <v>185</v>
      </c>
      <c r="G42">
        <v>15970176</v>
      </c>
      <c r="H42">
        <v>2030425407</v>
      </c>
      <c r="I42" t="s">
        <v>265</v>
      </c>
      <c r="J42" t="s">
        <v>206</v>
      </c>
      <c r="K42" t="s">
        <v>165</v>
      </c>
      <c r="L42" t="s">
        <v>214</v>
      </c>
      <c r="M42" s="6">
        <v>46105</v>
      </c>
      <c r="N42" s="54"/>
    </row>
    <row r="43" spans="1:14" x14ac:dyDescent="0.3">
      <c r="A43">
        <v>4651</v>
      </c>
      <c r="B43">
        <v>1</v>
      </c>
      <c r="C43" t="s">
        <v>179</v>
      </c>
      <c r="D43" t="s">
        <v>154</v>
      </c>
      <c r="E43" t="s">
        <v>180</v>
      </c>
      <c r="F43" t="s">
        <v>156</v>
      </c>
      <c r="G43">
        <v>13775333</v>
      </c>
      <c r="H43">
        <v>2026336512</v>
      </c>
      <c r="I43" t="s">
        <v>266</v>
      </c>
      <c r="J43" t="s">
        <v>267</v>
      </c>
      <c r="K43" t="s">
        <v>268</v>
      </c>
      <c r="L43" t="s">
        <v>269</v>
      </c>
      <c r="M43" s="6">
        <v>45970</v>
      </c>
      <c r="N43" s="54"/>
    </row>
    <row r="44" spans="1:14" hidden="1" x14ac:dyDescent="0.3">
      <c r="A44">
        <v>4670</v>
      </c>
      <c r="B44">
        <v>1</v>
      </c>
      <c r="C44" t="s">
        <v>179</v>
      </c>
      <c r="D44" t="s">
        <v>154</v>
      </c>
      <c r="E44" t="s">
        <v>180</v>
      </c>
      <c r="F44" t="s">
        <v>185</v>
      </c>
      <c r="G44">
        <v>15424293</v>
      </c>
      <c r="H44">
        <v>2029302035</v>
      </c>
      <c r="I44" t="s">
        <v>270</v>
      </c>
      <c r="J44" t="s">
        <v>267</v>
      </c>
      <c r="K44" t="s">
        <v>243</v>
      </c>
      <c r="L44" t="s">
        <v>271</v>
      </c>
      <c r="M44" s="6">
        <v>46052</v>
      </c>
      <c r="N44" s="54"/>
    </row>
    <row r="45" spans="1:14" hidden="1" x14ac:dyDescent="0.3">
      <c r="A45">
        <v>4676</v>
      </c>
      <c r="B45">
        <v>1</v>
      </c>
      <c r="C45" t="s">
        <v>179</v>
      </c>
      <c r="D45" t="s">
        <v>154</v>
      </c>
      <c r="E45" t="s">
        <v>180</v>
      </c>
      <c r="F45" t="s">
        <v>185</v>
      </c>
      <c r="G45">
        <v>13579712</v>
      </c>
      <c r="H45">
        <v>2025846949</v>
      </c>
      <c r="I45" t="s">
        <v>272</v>
      </c>
      <c r="J45" t="s">
        <v>267</v>
      </c>
      <c r="K45" t="s">
        <v>243</v>
      </c>
      <c r="L45" t="s">
        <v>271</v>
      </c>
      <c r="M45" s="6">
        <v>46264</v>
      </c>
      <c r="N45" s="54"/>
    </row>
    <row r="46" spans="1:14" hidden="1" x14ac:dyDescent="0.3">
      <c r="A46">
        <v>4716</v>
      </c>
      <c r="B46">
        <v>1</v>
      </c>
      <c r="C46" t="s">
        <v>179</v>
      </c>
      <c r="D46" t="s">
        <v>154</v>
      </c>
      <c r="E46" t="s">
        <v>180</v>
      </c>
      <c r="F46" t="s">
        <v>185</v>
      </c>
      <c r="G46">
        <v>14282877</v>
      </c>
      <c r="H46">
        <v>2027163950</v>
      </c>
      <c r="I46" t="s">
        <v>273</v>
      </c>
      <c r="J46" t="s">
        <v>274</v>
      </c>
      <c r="K46" t="s">
        <v>243</v>
      </c>
      <c r="L46" t="s">
        <v>271</v>
      </c>
      <c r="M46" s="6">
        <v>45960</v>
      </c>
      <c r="N46" s="54"/>
    </row>
    <row r="47" spans="1:14" hidden="1" x14ac:dyDescent="0.3">
      <c r="A47">
        <v>4718</v>
      </c>
      <c r="B47">
        <v>1</v>
      </c>
      <c r="C47" t="s">
        <v>179</v>
      </c>
      <c r="D47" t="s">
        <v>154</v>
      </c>
      <c r="E47" t="s">
        <v>180</v>
      </c>
      <c r="F47" t="s">
        <v>185</v>
      </c>
      <c r="G47">
        <v>15486830</v>
      </c>
      <c r="H47">
        <v>2029435596</v>
      </c>
      <c r="I47" t="s">
        <v>275</v>
      </c>
      <c r="J47" t="s">
        <v>274</v>
      </c>
      <c r="K47" t="s">
        <v>243</v>
      </c>
      <c r="L47" t="s">
        <v>271</v>
      </c>
      <c r="M47" s="6">
        <v>45960</v>
      </c>
      <c r="N47" s="54"/>
    </row>
    <row r="48" spans="1:14" hidden="1" x14ac:dyDescent="0.3">
      <c r="A48">
        <v>4720</v>
      </c>
      <c r="B48">
        <v>1</v>
      </c>
      <c r="C48" t="s">
        <v>179</v>
      </c>
      <c r="D48" t="s">
        <v>154</v>
      </c>
      <c r="E48" t="s">
        <v>180</v>
      </c>
      <c r="F48" t="s">
        <v>185</v>
      </c>
      <c r="G48">
        <v>15486058</v>
      </c>
      <c r="H48">
        <v>2029433679</v>
      </c>
      <c r="I48" t="s">
        <v>276</v>
      </c>
      <c r="J48" t="s">
        <v>274</v>
      </c>
      <c r="K48" t="s">
        <v>243</v>
      </c>
      <c r="L48" t="s">
        <v>271</v>
      </c>
      <c r="M48" s="6">
        <v>45961</v>
      </c>
      <c r="N48" s="54"/>
    </row>
    <row r="49" spans="1:14" x14ac:dyDescent="0.3">
      <c r="A49">
        <v>4721</v>
      </c>
      <c r="B49">
        <v>1</v>
      </c>
      <c r="C49" t="s">
        <v>237</v>
      </c>
      <c r="D49" t="s">
        <v>154</v>
      </c>
      <c r="E49" t="s">
        <v>180</v>
      </c>
      <c r="F49" t="s">
        <v>156</v>
      </c>
      <c r="G49">
        <v>14105601</v>
      </c>
      <c r="H49">
        <v>2026812374</v>
      </c>
      <c r="I49" t="s">
        <v>277</v>
      </c>
      <c r="J49" t="s">
        <v>274</v>
      </c>
      <c r="K49" t="s">
        <v>278</v>
      </c>
      <c r="L49" t="s">
        <v>279</v>
      </c>
      <c r="M49" s="6">
        <v>45977</v>
      </c>
      <c r="N49" s="54"/>
    </row>
    <row r="50" spans="1:14" hidden="1" x14ac:dyDescent="0.3">
      <c r="A50">
        <v>4740</v>
      </c>
      <c r="B50">
        <v>1</v>
      </c>
      <c r="C50" t="s">
        <v>179</v>
      </c>
      <c r="D50" t="s">
        <v>154</v>
      </c>
      <c r="E50" t="s">
        <v>180</v>
      </c>
      <c r="F50" t="s">
        <v>185</v>
      </c>
      <c r="G50">
        <v>13579743</v>
      </c>
      <c r="H50">
        <v>2025846973</v>
      </c>
      <c r="I50" t="s">
        <v>280</v>
      </c>
      <c r="J50" t="s">
        <v>274</v>
      </c>
      <c r="K50" t="s">
        <v>243</v>
      </c>
      <c r="L50" t="s">
        <v>271</v>
      </c>
      <c r="M50" s="6">
        <v>46264</v>
      </c>
      <c r="N50" s="54"/>
    </row>
    <row r="51" spans="1:14" x14ac:dyDescent="0.3">
      <c r="A51">
        <v>4834</v>
      </c>
      <c r="B51">
        <v>1</v>
      </c>
      <c r="C51" t="s">
        <v>179</v>
      </c>
      <c r="D51" t="s">
        <v>154</v>
      </c>
      <c r="E51" t="s">
        <v>204</v>
      </c>
      <c r="F51" t="s">
        <v>156</v>
      </c>
      <c r="G51">
        <v>16058245</v>
      </c>
      <c r="H51">
        <v>2030561940</v>
      </c>
      <c r="I51" t="s">
        <v>281</v>
      </c>
      <c r="J51" t="s">
        <v>179</v>
      </c>
      <c r="K51" t="s">
        <v>165</v>
      </c>
      <c r="L51" t="s">
        <v>282</v>
      </c>
      <c r="M51" s="6">
        <v>45952</v>
      </c>
      <c r="N51" s="54"/>
    </row>
    <row r="52" spans="1:14" hidden="1" x14ac:dyDescent="0.3">
      <c r="A52">
        <v>4849</v>
      </c>
      <c r="B52">
        <v>1</v>
      </c>
      <c r="C52" t="s">
        <v>237</v>
      </c>
      <c r="D52" t="s">
        <v>154</v>
      </c>
      <c r="E52" t="s">
        <v>155</v>
      </c>
      <c r="F52" t="s">
        <v>185</v>
      </c>
      <c r="G52">
        <v>15451143</v>
      </c>
      <c r="H52">
        <v>2029416254</v>
      </c>
      <c r="I52" t="s">
        <v>283</v>
      </c>
      <c r="J52" t="s">
        <v>179</v>
      </c>
      <c r="K52" t="s">
        <v>203</v>
      </c>
      <c r="L52" t="s">
        <v>160</v>
      </c>
      <c r="M52" s="6">
        <v>45960</v>
      </c>
      <c r="N52" s="54"/>
    </row>
    <row r="53" spans="1:14" hidden="1" x14ac:dyDescent="0.3">
      <c r="A53">
        <v>4858</v>
      </c>
      <c r="B53">
        <v>1</v>
      </c>
      <c r="C53" t="s">
        <v>179</v>
      </c>
      <c r="D53" t="s">
        <v>154</v>
      </c>
      <c r="E53" t="s">
        <v>155</v>
      </c>
      <c r="F53" t="s">
        <v>284</v>
      </c>
      <c r="G53">
        <v>15533814</v>
      </c>
      <c r="H53">
        <v>2029636548</v>
      </c>
      <c r="I53" t="s">
        <v>285</v>
      </c>
      <c r="J53" t="s">
        <v>179</v>
      </c>
      <c r="K53" t="s">
        <v>243</v>
      </c>
      <c r="L53" t="s">
        <v>196</v>
      </c>
      <c r="M53" s="6">
        <v>45960</v>
      </c>
      <c r="N53" s="54"/>
    </row>
    <row r="54" spans="1:14" x14ac:dyDescent="0.3">
      <c r="A54">
        <v>4877</v>
      </c>
      <c r="B54">
        <v>1</v>
      </c>
      <c r="C54" t="s">
        <v>179</v>
      </c>
      <c r="D54" t="s">
        <v>154</v>
      </c>
      <c r="E54" t="s">
        <v>204</v>
      </c>
      <c r="F54" t="s">
        <v>156</v>
      </c>
      <c r="G54">
        <v>16069234</v>
      </c>
      <c r="H54">
        <v>2030561936</v>
      </c>
      <c r="I54" t="s">
        <v>286</v>
      </c>
      <c r="J54" t="s">
        <v>179</v>
      </c>
      <c r="K54" t="s">
        <v>287</v>
      </c>
      <c r="L54" t="s">
        <v>288</v>
      </c>
      <c r="M54" s="6">
        <v>45975</v>
      </c>
      <c r="N54" s="54"/>
    </row>
    <row r="55" spans="1:14" x14ac:dyDescent="0.3">
      <c r="A55">
        <v>4991</v>
      </c>
      <c r="B55">
        <v>1</v>
      </c>
      <c r="C55" t="s">
        <v>289</v>
      </c>
      <c r="D55" t="s">
        <v>154</v>
      </c>
      <c r="E55" t="s">
        <v>180</v>
      </c>
      <c r="F55" t="s">
        <v>156</v>
      </c>
      <c r="G55">
        <v>13356621</v>
      </c>
      <c r="H55">
        <v>2025698097</v>
      </c>
      <c r="I55" t="s">
        <v>290</v>
      </c>
      <c r="J55" t="s">
        <v>179</v>
      </c>
      <c r="K55" t="s">
        <v>159</v>
      </c>
      <c r="L55" t="s">
        <v>196</v>
      </c>
      <c r="M55" s="6">
        <v>46387</v>
      </c>
      <c r="N55" s="5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77FB-48C4-4601-8468-A092D07182DA}">
  <sheetPr>
    <tabColor theme="1"/>
  </sheetPr>
  <dimension ref="A1:K223"/>
  <sheetViews>
    <sheetView topLeftCell="A188" workbookViewId="0">
      <selection activeCell="E203" sqref="E203"/>
    </sheetView>
  </sheetViews>
  <sheetFormatPr defaultRowHeight="14.4" x14ac:dyDescent="0.3"/>
  <cols>
    <col min="1" max="1" width="11.109375" bestFit="1" customWidth="1"/>
    <col min="2" max="2" width="7.21875" bestFit="1" customWidth="1"/>
    <col min="3" max="3" width="11.6640625" bestFit="1" customWidth="1"/>
    <col min="4" max="4" width="39.33203125" bestFit="1" customWidth="1"/>
    <col min="5" max="5" width="40.21875" bestFit="1" customWidth="1"/>
    <col min="6" max="6" width="6.77734375" bestFit="1" customWidth="1"/>
    <col min="7" max="7" width="18.33203125" bestFit="1" customWidth="1"/>
    <col min="8" max="8" width="33.5546875" bestFit="1" customWidth="1"/>
    <col min="9" max="9" width="12.21875" bestFit="1" customWidth="1"/>
    <col min="10" max="10" width="11.77734375" bestFit="1" customWidth="1"/>
    <col min="11" max="11" width="80.88671875" bestFit="1" customWidth="1"/>
  </cols>
  <sheetData>
    <row r="1" spans="1:11" x14ac:dyDescent="0.3">
      <c r="A1" t="s">
        <v>1831</v>
      </c>
      <c r="B1" t="s">
        <v>144</v>
      </c>
      <c r="C1" t="s">
        <v>1832</v>
      </c>
      <c r="D1" t="s">
        <v>1833</v>
      </c>
      <c r="E1" t="s">
        <v>1834</v>
      </c>
      <c r="F1" t="s">
        <v>1835</v>
      </c>
      <c r="G1" t="s">
        <v>1836</v>
      </c>
      <c r="H1" t="s">
        <v>1837</v>
      </c>
      <c r="I1" t="s">
        <v>1838</v>
      </c>
      <c r="J1" t="s">
        <v>1839</v>
      </c>
      <c r="K1" t="s">
        <v>1840</v>
      </c>
    </row>
    <row r="2" spans="1:11" x14ac:dyDescent="0.3">
      <c r="A2" t="s">
        <v>884</v>
      </c>
      <c r="B2" t="s">
        <v>156</v>
      </c>
      <c r="C2" t="s">
        <v>1841</v>
      </c>
      <c r="D2" t="s">
        <v>1842</v>
      </c>
      <c r="E2" t="s">
        <v>1843</v>
      </c>
      <c r="F2" t="s">
        <v>161</v>
      </c>
      <c r="G2" s="54"/>
      <c r="H2" t="s">
        <v>1844</v>
      </c>
      <c r="I2" t="s">
        <v>1845</v>
      </c>
      <c r="J2" t="s">
        <v>1846</v>
      </c>
      <c r="K2" t="s">
        <v>1847</v>
      </c>
    </row>
    <row r="3" spans="1:11" x14ac:dyDescent="0.3">
      <c r="A3" t="s">
        <v>884</v>
      </c>
      <c r="B3" t="s">
        <v>156</v>
      </c>
      <c r="C3" t="s">
        <v>1848</v>
      </c>
      <c r="D3" t="s">
        <v>1849</v>
      </c>
      <c r="E3" t="s">
        <v>1850</v>
      </c>
      <c r="F3" t="s">
        <v>161</v>
      </c>
      <c r="G3" s="54"/>
      <c r="H3" t="s">
        <v>1844</v>
      </c>
      <c r="I3" t="s">
        <v>1845</v>
      </c>
      <c r="J3" t="s">
        <v>1846</v>
      </c>
      <c r="K3" t="s">
        <v>1851</v>
      </c>
    </row>
    <row r="4" spans="1:11" x14ac:dyDescent="0.3">
      <c r="A4" t="s">
        <v>884</v>
      </c>
      <c r="B4" t="s">
        <v>156</v>
      </c>
      <c r="C4" t="s">
        <v>1852</v>
      </c>
      <c r="D4" t="s">
        <v>1849</v>
      </c>
      <c r="E4" t="s">
        <v>1853</v>
      </c>
      <c r="F4" t="s">
        <v>161</v>
      </c>
      <c r="G4" s="54"/>
      <c r="H4" t="s">
        <v>1844</v>
      </c>
      <c r="I4" t="s">
        <v>1845</v>
      </c>
      <c r="J4" t="s">
        <v>1846</v>
      </c>
      <c r="K4" t="s">
        <v>1851</v>
      </c>
    </row>
    <row r="5" spans="1:11" x14ac:dyDescent="0.3">
      <c r="A5" t="s">
        <v>884</v>
      </c>
      <c r="B5" t="s">
        <v>156</v>
      </c>
      <c r="C5" t="s">
        <v>1854</v>
      </c>
      <c r="D5" t="s">
        <v>1849</v>
      </c>
      <c r="E5" t="s">
        <v>1855</v>
      </c>
      <c r="F5" t="s">
        <v>161</v>
      </c>
      <c r="G5" s="54"/>
      <c r="H5" t="s">
        <v>1844</v>
      </c>
      <c r="I5" t="s">
        <v>1845</v>
      </c>
      <c r="J5" t="s">
        <v>1846</v>
      </c>
      <c r="K5" t="s">
        <v>1851</v>
      </c>
    </row>
    <row r="6" spans="1:11" x14ac:dyDescent="0.3">
      <c r="A6" t="s">
        <v>884</v>
      </c>
      <c r="B6" t="s">
        <v>156</v>
      </c>
      <c r="C6" t="s">
        <v>1856</v>
      </c>
      <c r="D6" t="s">
        <v>1857</v>
      </c>
      <c r="E6" t="s">
        <v>1858</v>
      </c>
      <c r="F6" t="s">
        <v>1859</v>
      </c>
      <c r="G6" s="54">
        <v>45915</v>
      </c>
      <c r="H6" t="s">
        <v>1860</v>
      </c>
      <c r="I6" t="s">
        <v>1861</v>
      </c>
      <c r="J6" t="s">
        <v>1862</v>
      </c>
      <c r="K6" t="s">
        <v>1863</v>
      </c>
    </row>
    <row r="7" spans="1:11" x14ac:dyDescent="0.3">
      <c r="A7" t="s">
        <v>884</v>
      </c>
      <c r="B7" t="s">
        <v>156</v>
      </c>
      <c r="C7" t="s">
        <v>1864</v>
      </c>
      <c r="D7" t="s">
        <v>1865</v>
      </c>
      <c r="E7" t="s">
        <v>1866</v>
      </c>
      <c r="F7" t="s">
        <v>1867</v>
      </c>
      <c r="G7" s="54">
        <v>45923</v>
      </c>
      <c r="H7" t="s">
        <v>1868</v>
      </c>
      <c r="I7" t="s">
        <v>1845</v>
      </c>
      <c r="J7" t="s">
        <v>1869</v>
      </c>
      <c r="K7" t="s">
        <v>1870</v>
      </c>
    </row>
    <row r="8" spans="1:11" x14ac:dyDescent="0.3">
      <c r="A8" t="s">
        <v>884</v>
      </c>
      <c r="B8" t="s">
        <v>156</v>
      </c>
      <c r="C8" t="s">
        <v>1871</v>
      </c>
      <c r="D8" t="s">
        <v>1872</v>
      </c>
      <c r="E8" t="s">
        <v>1873</v>
      </c>
      <c r="F8" t="s">
        <v>1874</v>
      </c>
      <c r="G8" s="54">
        <v>45927</v>
      </c>
      <c r="H8" t="s">
        <v>1860</v>
      </c>
      <c r="I8" t="s">
        <v>1861</v>
      </c>
      <c r="J8" t="s">
        <v>1862</v>
      </c>
      <c r="K8" t="s">
        <v>1875</v>
      </c>
    </row>
    <row r="9" spans="1:11" x14ac:dyDescent="0.3">
      <c r="A9" t="s">
        <v>884</v>
      </c>
      <c r="B9" t="s">
        <v>450</v>
      </c>
      <c r="C9" t="s">
        <v>1876</v>
      </c>
      <c r="D9" t="s">
        <v>1877</v>
      </c>
      <c r="E9" t="s">
        <v>1877</v>
      </c>
      <c r="F9" t="s">
        <v>1859</v>
      </c>
      <c r="G9" s="54">
        <v>45932</v>
      </c>
      <c r="H9" t="s">
        <v>1860</v>
      </c>
      <c r="I9" t="s">
        <v>1861</v>
      </c>
      <c r="J9" t="s">
        <v>1862</v>
      </c>
      <c r="K9" t="s">
        <v>1878</v>
      </c>
    </row>
    <row r="10" spans="1:11" x14ac:dyDescent="0.3">
      <c r="A10" t="s">
        <v>884</v>
      </c>
      <c r="B10" t="s">
        <v>175</v>
      </c>
      <c r="C10" t="s">
        <v>1879</v>
      </c>
      <c r="D10" t="s">
        <v>1880</v>
      </c>
      <c r="E10" t="s">
        <v>1881</v>
      </c>
      <c r="F10" t="s">
        <v>1867</v>
      </c>
      <c r="G10" s="54">
        <v>45939</v>
      </c>
      <c r="H10" t="s">
        <v>1860</v>
      </c>
      <c r="I10" t="s">
        <v>1861</v>
      </c>
      <c r="J10" t="s">
        <v>1862</v>
      </c>
      <c r="K10" t="s">
        <v>1882</v>
      </c>
    </row>
    <row r="11" spans="1:11" x14ac:dyDescent="0.3">
      <c r="A11" t="s">
        <v>884</v>
      </c>
      <c r="B11" t="s">
        <v>156</v>
      </c>
      <c r="C11" t="s">
        <v>1883</v>
      </c>
      <c r="D11" t="s">
        <v>1884</v>
      </c>
      <c r="E11" t="s">
        <v>1885</v>
      </c>
      <c r="F11" t="s">
        <v>1874</v>
      </c>
      <c r="G11" s="54">
        <v>45946</v>
      </c>
      <c r="H11" t="s">
        <v>1860</v>
      </c>
      <c r="I11" t="s">
        <v>1861</v>
      </c>
      <c r="J11" t="s">
        <v>1862</v>
      </c>
      <c r="K11" t="s">
        <v>1886</v>
      </c>
    </row>
    <row r="12" spans="1:11" x14ac:dyDescent="0.3">
      <c r="A12" t="s">
        <v>884</v>
      </c>
      <c r="B12" t="s">
        <v>156</v>
      </c>
      <c r="C12" t="s">
        <v>1887</v>
      </c>
      <c r="D12" t="s">
        <v>1884</v>
      </c>
      <c r="E12" t="s">
        <v>1885</v>
      </c>
      <c r="F12" t="s">
        <v>1874</v>
      </c>
      <c r="G12" s="54">
        <v>45947</v>
      </c>
      <c r="H12" t="s">
        <v>1860</v>
      </c>
      <c r="I12" t="s">
        <v>1861</v>
      </c>
      <c r="J12" t="s">
        <v>1862</v>
      </c>
      <c r="K12" t="s">
        <v>1886</v>
      </c>
    </row>
    <row r="13" spans="1:11" x14ac:dyDescent="0.3">
      <c r="A13" t="s">
        <v>884</v>
      </c>
      <c r="B13" t="s">
        <v>450</v>
      </c>
      <c r="C13" t="s">
        <v>1888</v>
      </c>
      <c r="D13" t="s">
        <v>1889</v>
      </c>
      <c r="E13" t="s">
        <v>1889</v>
      </c>
      <c r="F13" t="s">
        <v>1859</v>
      </c>
      <c r="G13" s="54">
        <v>45949</v>
      </c>
      <c r="H13" t="s">
        <v>1860</v>
      </c>
      <c r="I13" t="s">
        <v>1861</v>
      </c>
      <c r="J13" t="s">
        <v>1862</v>
      </c>
      <c r="K13" t="s">
        <v>1890</v>
      </c>
    </row>
    <row r="14" spans="1:11" x14ac:dyDescent="0.3">
      <c r="A14" t="s">
        <v>884</v>
      </c>
      <c r="B14" t="s">
        <v>156</v>
      </c>
      <c r="C14" t="s">
        <v>1891</v>
      </c>
      <c r="D14" t="s">
        <v>1892</v>
      </c>
      <c r="E14" t="s">
        <v>1893</v>
      </c>
      <c r="F14" t="s">
        <v>1874</v>
      </c>
      <c r="G14" s="54">
        <v>45949</v>
      </c>
      <c r="H14" t="s">
        <v>1860</v>
      </c>
      <c r="I14" t="s">
        <v>1861</v>
      </c>
      <c r="J14" t="s">
        <v>1862</v>
      </c>
      <c r="K14" t="s">
        <v>1894</v>
      </c>
    </row>
    <row r="15" spans="1:11" x14ac:dyDescent="0.3">
      <c r="A15" t="s">
        <v>884</v>
      </c>
      <c r="B15" t="s">
        <v>156</v>
      </c>
      <c r="C15" t="s">
        <v>1895</v>
      </c>
      <c r="D15" t="s">
        <v>1892</v>
      </c>
      <c r="E15" t="s">
        <v>1896</v>
      </c>
      <c r="F15" t="s">
        <v>1874</v>
      </c>
      <c r="G15" s="54">
        <v>45949</v>
      </c>
      <c r="H15" t="s">
        <v>1860</v>
      </c>
      <c r="I15" t="s">
        <v>1861</v>
      </c>
      <c r="J15" t="s">
        <v>1862</v>
      </c>
      <c r="K15" t="s">
        <v>1894</v>
      </c>
    </row>
    <row r="16" spans="1:11" x14ac:dyDescent="0.3">
      <c r="A16" t="s">
        <v>884</v>
      </c>
      <c r="B16" t="s">
        <v>156</v>
      </c>
      <c r="C16" t="s">
        <v>1897</v>
      </c>
      <c r="D16" t="s">
        <v>1898</v>
      </c>
      <c r="E16" t="s">
        <v>1899</v>
      </c>
      <c r="F16" t="s">
        <v>1859</v>
      </c>
      <c r="G16" s="54">
        <v>45953</v>
      </c>
      <c r="H16" t="s">
        <v>1860</v>
      </c>
      <c r="I16" t="s">
        <v>1861</v>
      </c>
      <c r="J16" t="s">
        <v>1862</v>
      </c>
      <c r="K16" t="s">
        <v>1900</v>
      </c>
    </row>
    <row r="17" spans="1:11" x14ac:dyDescent="0.3">
      <c r="A17" t="s">
        <v>884</v>
      </c>
      <c r="B17" t="s">
        <v>156</v>
      </c>
      <c r="C17" t="s">
        <v>1901</v>
      </c>
      <c r="D17" t="s">
        <v>1884</v>
      </c>
      <c r="E17" t="s">
        <v>1885</v>
      </c>
      <c r="F17" t="s">
        <v>1874</v>
      </c>
      <c r="G17" s="54">
        <v>45955</v>
      </c>
      <c r="H17" t="s">
        <v>1860</v>
      </c>
      <c r="I17" t="s">
        <v>1861</v>
      </c>
      <c r="J17" t="s">
        <v>1862</v>
      </c>
      <c r="K17" t="s">
        <v>1886</v>
      </c>
    </row>
    <row r="18" spans="1:11" x14ac:dyDescent="0.3">
      <c r="A18" t="s">
        <v>884</v>
      </c>
      <c r="B18" t="s">
        <v>156</v>
      </c>
      <c r="C18" t="s">
        <v>1902</v>
      </c>
      <c r="D18" t="s">
        <v>1884</v>
      </c>
      <c r="E18" t="s">
        <v>1885</v>
      </c>
      <c r="F18" t="s">
        <v>1874</v>
      </c>
      <c r="G18" s="54">
        <v>45955</v>
      </c>
      <c r="H18" t="s">
        <v>1860</v>
      </c>
      <c r="I18" t="s">
        <v>1861</v>
      </c>
      <c r="J18" t="s">
        <v>1862</v>
      </c>
      <c r="K18" t="s">
        <v>1886</v>
      </c>
    </row>
    <row r="19" spans="1:11" x14ac:dyDescent="0.3">
      <c r="A19" t="s">
        <v>884</v>
      </c>
      <c r="B19" t="s">
        <v>156</v>
      </c>
      <c r="C19" t="s">
        <v>1903</v>
      </c>
      <c r="D19" t="s">
        <v>1904</v>
      </c>
      <c r="E19" t="s">
        <v>1905</v>
      </c>
      <c r="F19" t="s">
        <v>1867</v>
      </c>
      <c r="G19" s="54">
        <v>45958</v>
      </c>
      <c r="H19" t="s">
        <v>1868</v>
      </c>
      <c r="I19" t="s">
        <v>1845</v>
      </c>
      <c r="J19" t="s">
        <v>1869</v>
      </c>
      <c r="K19" t="s">
        <v>1906</v>
      </c>
    </row>
    <row r="20" spans="1:11" x14ac:dyDescent="0.3">
      <c r="A20" t="s">
        <v>884</v>
      </c>
      <c r="B20" t="s">
        <v>156</v>
      </c>
      <c r="C20" t="s">
        <v>1907</v>
      </c>
      <c r="D20" t="s">
        <v>1908</v>
      </c>
      <c r="E20" t="s">
        <v>1909</v>
      </c>
      <c r="F20" t="s">
        <v>1874</v>
      </c>
      <c r="G20" s="54">
        <v>45962</v>
      </c>
      <c r="H20" t="s">
        <v>1860</v>
      </c>
      <c r="I20" t="s">
        <v>1861</v>
      </c>
      <c r="J20" t="s">
        <v>1862</v>
      </c>
      <c r="K20" t="s">
        <v>1910</v>
      </c>
    </row>
    <row r="21" spans="1:11" x14ac:dyDescent="0.3">
      <c r="A21" t="s">
        <v>884</v>
      </c>
      <c r="B21" t="s">
        <v>156</v>
      </c>
      <c r="C21" t="s">
        <v>1911</v>
      </c>
      <c r="D21" t="s">
        <v>1912</v>
      </c>
      <c r="E21" t="s">
        <v>1913</v>
      </c>
      <c r="F21" t="s">
        <v>1874</v>
      </c>
      <c r="G21" s="54">
        <v>45964</v>
      </c>
      <c r="H21" t="s">
        <v>1860</v>
      </c>
      <c r="I21" t="s">
        <v>1861</v>
      </c>
      <c r="J21" t="s">
        <v>1862</v>
      </c>
      <c r="K21" t="s">
        <v>1914</v>
      </c>
    </row>
    <row r="22" spans="1:11" x14ac:dyDescent="0.3">
      <c r="A22" t="s">
        <v>884</v>
      </c>
      <c r="B22" t="s">
        <v>156</v>
      </c>
      <c r="C22" t="s">
        <v>1915</v>
      </c>
      <c r="D22" t="s">
        <v>1912</v>
      </c>
      <c r="E22" t="s">
        <v>1916</v>
      </c>
      <c r="F22" t="s">
        <v>1874</v>
      </c>
      <c r="G22" s="54">
        <v>45964</v>
      </c>
      <c r="H22" t="s">
        <v>1860</v>
      </c>
      <c r="I22" t="s">
        <v>1861</v>
      </c>
      <c r="J22" t="s">
        <v>1862</v>
      </c>
      <c r="K22" t="s">
        <v>1914</v>
      </c>
    </row>
    <row r="23" spans="1:11" x14ac:dyDescent="0.3">
      <c r="A23" t="s">
        <v>884</v>
      </c>
      <c r="B23" t="s">
        <v>156</v>
      </c>
      <c r="C23" t="s">
        <v>1917</v>
      </c>
      <c r="D23" t="s">
        <v>1912</v>
      </c>
      <c r="E23" t="s">
        <v>1918</v>
      </c>
      <c r="F23" t="s">
        <v>1874</v>
      </c>
      <c r="G23" s="54">
        <v>45964</v>
      </c>
      <c r="H23" t="s">
        <v>1860</v>
      </c>
      <c r="I23" t="s">
        <v>1861</v>
      </c>
      <c r="J23" t="s">
        <v>1862</v>
      </c>
      <c r="K23" t="s">
        <v>1914</v>
      </c>
    </row>
    <row r="24" spans="1:11" x14ac:dyDescent="0.3">
      <c r="A24" t="s">
        <v>884</v>
      </c>
      <c r="B24" t="s">
        <v>156</v>
      </c>
      <c r="C24" t="s">
        <v>1919</v>
      </c>
      <c r="D24" t="s">
        <v>1920</v>
      </c>
      <c r="E24" t="s">
        <v>1921</v>
      </c>
      <c r="F24" t="s">
        <v>1867</v>
      </c>
      <c r="G24" s="54">
        <v>45981</v>
      </c>
      <c r="H24" t="s">
        <v>1860</v>
      </c>
      <c r="I24" t="s">
        <v>1861</v>
      </c>
      <c r="J24" t="s">
        <v>1922</v>
      </c>
      <c r="K24" t="s">
        <v>1923</v>
      </c>
    </row>
    <row r="25" spans="1:11" x14ac:dyDescent="0.3">
      <c r="A25" t="s">
        <v>884</v>
      </c>
      <c r="B25" t="s">
        <v>450</v>
      </c>
      <c r="C25" t="s">
        <v>1924</v>
      </c>
      <c r="D25" t="s">
        <v>1925</v>
      </c>
      <c r="E25" t="s">
        <v>1926</v>
      </c>
      <c r="F25" t="s">
        <v>1874</v>
      </c>
      <c r="G25" s="54">
        <v>45994</v>
      </c>
      <c r="H25" t="s">
        <v>1927</v>
      </c>
      <c r="I25" t="s">
        <v>1928</v>
      </c>
      <c r="J25" t="s">
        <v>1929</v>
      </c>
      <c r="K25" t="s">
        <v>1930</v>
      </c>
    </row>
    <row r="26" spans="1:11" x14ac:dyDescent="0.3">
      <c r="A26" t="s">
        <v>884</v>
      </c>
      <c r="B26" t="s">
        <v>156</v>
      </c>
      <c r="C26" t="s">
        <v>1931</v>
      </c>
      <c r="D26" t="s">
        <v>1932</v>
      </c>
      <c r="E26" t="s">
        <v>1933</v>
      </c>
      <c r="F26" t="s">
        <v>1859</v>
      </c>
      <c r="G26" s="54">
        <v>45998</v>
      </c>
      <c r="H26" t="s">
        <v>1860</v>
      </c>
      <c r="I26" t="s">
        <v>1861</v>
      </c>
      <c r="J26" t="s">
        <v>1862</v>
      </c>
      <c r="K26" t="s">
        <v>1934</v>
      </c>
    </row>
    <row r="27" spans="1:11" x14ac:dyDescent="0.3">
      <c r="A27" t="s">
        <v>884</v>
      </c>
      <c r="B27" t="s">
        <v>156</v>
      </c>
      <c r="C27" t="s">
        <v>1935</v>
      </c>
      <c r="D27" t="s">
        <v>1932</v>
      </c>
      <c r="E27" t="s">
        <v>1932</v>
      </c>
      <c r="F27" t="s">
        <v>1859</v>
      </c>
      <c r="G27" s="54">
        <v>45998</v>
      </c>
      <c r="H27" t="s">
        <v>1860</v>
      </c>
      <c r="I27" t="s">
        <v>1861</v>
      </c>
      <c r="J27" t="s">
        <v>1862</v>
      </c>
      <c r="K27" t="s">
        <v>1934</v>
      </c>
    </row>
    <row r="28" spans="1:11" x14ac:dyDescent="0.3">
      <c r="A28" t="s">
        <v>884</v>
      </c>
      <c r="B28" t="s">
        <v>156</v>
      </c>
      <c r="C28" t="s">
        <v>1936</v>
      </c>
      <c r="D28" t="s">
        <v>1937</v>
      </c>
      <c r="E28" t="s">
        <v>1938</v>
      </c>
      <c r="F28" t="s">
        <v>1859</v>
      </c>
      <c r="G28" s="54">
        <v>45999</v>
      </c>
      <c r="H28" t="s">
        <v>1860</v>
      </c>
      <c r="I28" t="s">
        <v>1861</v>
      </c>
      <c r="J28" t="s">
        <v>1862</v>
      </c>
      <c r="K28" t="s">
        <v>1939</v>
      </c>
    </row>
    <row r="29" spans="1:11" x14ac:dyDescent="0.3">
      <c r="A29" t="s">
        <v>884</v>
      </c>
      <c r="B29" t="s">
        <v>156</v>
      </c>
      <c r="C29" t="s">
        <v>1940</v>
      </c>
      <c r="D29" t="s">
        <v>1937</v>
      </c>
      <c r="E29" t="s">
        <v>1941</v>
      </c>
      <c r="F29" t="s">
        <v>1859</v>
      </c>
      <c r="G29" s="54">
        <v>45999</v>
      </c>
      <c r="H29" t="s">
        <v>1860</v>
      </c>
      <c r="I29" t="s">
        <v>1861</v>
      </c>
      <c r="J29" t="s">
        <v>1862</v>
      </c>
      <c r="K29" t="s">
        <v>1939</v>
      </c>
    </row>
    <row r="30" spans="1:11" x14ac:dyDescent="0.3">
      <c r="A30" t="s">
        <v>884</v>
      </c>
      <c r="B30" t="s">
        <v>175</v>
      </c>
      <c r="C30" t="s">
        <v>1942</v>
      </c>
      <c r="D30" t="s">
        <v>1943</v>
      </c>
      <c r="E30" t="s">
        <v>1944</v>
      </c>
      <c r="F30" t="s">
        <v>1859</v>
      </c>
      <c r="G30" s="54">
        <v>45999</v>
      </c>
      <c r="H30" t="s">
        <v>1860</v>
      </c>
      <c r="I30" t="s">
        <v>1861</v>
      </c>
      <c r="J30" t="s">
        <v>1862</v>
      </c>
      <c r="K30" t="s">
        <v>1945</v>
      </c>
    </row>
    <row r="31" spans="1:11" x14ac:dyDescent="0.3">
      <c r="A31" t="s">
        <v>884</v>
      </c>
      <c r="B31" t="s">
        <v>156</v>
      </c>
      <c r="C31" t="s">
        <v>1946</v>
      </c>
      <c r="D31" t="s">
        <v>1947</v>
      </c>
      <c r="E31" t="s">
        <v>1948</v>
      </c>
      <c r="F31" t="s">
        <v>1859</v>
      </c>
      <c r="G31" s="54">
        <v>46001</v>
      </c>
      <c r="H31" t="s">
        <v>1860</v>
      </c>
      <c r="I31" t="s">
        <v>1861</v>
      </c>
      <c r="J31" t="s">
        <v>1862</v>
      </c>
      <c r="K31" t="s">
        <v>1949</v>
      </c>
    </row>
    <row r="32" spans="1:11" x14ac:dyDescent="0.3">
      <c r="A32" t="s">
        <v>884</v>
      </c>
      <c r="B32" t="s">
        <v>175</v>
      </c>
      <c r="C32" t="s">
        <v>1950</v>
      </c>
      <c r="D32" t="s">
        <v>1951</v>
      </c>
      <c r="E32" t="s">
        <v>1952</v>
      </c>
      <c r="F32" t="s">
        <v>1859</v>
      </c>
      <c r="G32" s="54">
        <v>46001</v>
      </c>
      <c r="H32" t="s">
        <v>1860</v>
      </c>
      <c r="I32" t="s">
        <v>1861</v>
      </c>
      <c r="J32" t="s">
        <v>1862</v>
      </c>
      <c r="K32" t="s">
        <v>1953</v>
      </c>
    </row>
    <row r="33" spans="1:11" x14ac:dyDescent="0.3">
      <c r="A33" t="s">
        <v>884</v>
      </c>
      <c r="B33" t="s">
        <v>175</v>
      </c>
      <c r="C33" t="s">
        <v>1954</v>
      </c>
      <c r="D33" t="s">
        <v>1951</v>
      </c>
      <c r="E33" t="s">
        <v>1955</v>
      </c>
      <c r="F33" t="s">
        <v>1859</v>
      </c>
      <c r="G33" s="54">
        <v>46001</v>
      </c>
      <c r="H33" t="s">
        <v>1860</v>
      </c>
      <c r="I33" t="s">
        <v>1861</v>
      </c>
      <c r="J33" t="s">
        <v>1862</v>
      </c>
      <c r="K33" t="s">
        <v>1953</v>
      </c>
    </row>
    <row r="34" spans="1:11" x14ac:dyDescent="0.3">
      <c r="A34" t="s">
        <v>884</v>
      </c>
      <c r="B34" t="s">
        <v>175</v>
      </c>
      <c r="C34" t="s">
        <v>1956</v>
      </c>
      <c r="D34" t="s">
        <v>1951</v>
      </c>
      <c r="E34" t="s">
        <v>1957</v>
      </c>
      <c r="F34" t="s">
        <v>1859</v>
      </c>
      <c r="G34" s="54">
        <v>46001</v>
      </c>
      <c r="H34" t="s">
        <v>1860</v>
      </c>
      <c r="I34" t="s">
        <v>1861</v>
      </c>
      <c r="J34" t="s">
        <v>1862</v>
      </c>
      <c r="K34" t="s">
        <v>1953</v>
      </c>
    </row>
    <row r="35" spans="1:11" x14ac:dyDescent="0.3">
      <c r="A35" t="s">
        <v>884</v>
      </c>
      <c r="B35" t="s">
        <v>156</v>
      </c>
      <c r="C35" t="s">
        <v>1958</v>
      </c>
      <c r="D35" t="s">
        <v>1959</v>
      </c>
      <c r="E35" t="s">
        <v>1960</v>
      </c>
      <c r="F35" t="s">
        <v>1859</v>
      </c>
      <c r="G35" s="54">
        <v>46001</v>
      </c>
      <c r="H35" t="s">
        <v>1860</v>
      </c>
      <c r="I35" t="s">
        <v>1861</v>
      </c>
      <c r="J35" t="s">
        <v>1862</v>
      </c>
      <c r="K35" t="s">
        <v>1961</v>
      </c>
    </row>
    <row r="36" spans="1:11" x14ac:dyDescent="0.3">
      <c r="A36" t="s">
        <v>884</v>
      </c>
      <c r="B36" t="s">
        <v>156</v>
      </c>
      <c r="C36" t="s">
        <v>1962</v>
      </c>
      <c r="D36" t="s">
        <v>1963</v>
      </c>
      <c r="E36" t="s">
        <v>1964</v>
      </c>
      <c r="F36" t="s">
        <v>1859</v>
      </c>
      <c r="G36" s="54">
        <v>46002</v>
      </c>
      <c r="H36" t="s">
        <v>1860</v>
      </c>
      <c r="I36" t="s">
        <v>1861</v>
      </c>
      <c r="J36" t="s">
        <v>1862</v>
      </c>
      <c r="K36" t="s">
        <v>1965</v>
      </c>
    </row>
    <row r="37" spans="1:11" x14ac:dyDescent="0.3">
      <c r="A37" t="s">
        <v>884</v>
      </c>
      <c r="B37" t="s">
        <v>156</v>
      </c>
      <c r="C37" t="s">
        <v>1966</v>
      </c>
      <c r="D37" t="s">
        <v>1963</v>
      </c>
      <c r="E37" t="s">
        <v>1967</v>
      </c>
      <c r="F37" t="s">
        <v>1859</v>
      </c>
      <c r="G37" s="54">
        <v>46002</v>
      </c>
      <c r="H37" t="s">
        <v>1860</v>
      </c>
      <c r="I37" t="s">
        <v>1861</v>
      </c>
      <c r="J37" t="s">
        <v>1862</v>
      </c>
      <c r="K37" t="s">
        <v>1965</v>
      </c>
    </row>
    <row r="38" spans="1:11" x14ac:dyDescent="0.3">
      <c r="A38" t="s">
        <v>884</v>
      </c>
      <c r="B38" t="s">
        <v>156</v>
      </c>
      <c r="C38" t="s">
        <v>1968</v>
      </c>
      <c r="D38" t="s">
        <v>1963</v>
      </c>
      <c r="E38" t="s">
        <v>1969</v>
      </c>
      <c r="F38" t="s">
        <v>1859</v>
      </c>
      <c r="G38" s="54">
        <v>46002</v>
      </c>
      <c r="H38" t="s">
        <v>1860</v>
      </c>
      <c r="I38" t="s">
        <v>1861</v>
      </c>
      <c r="J38" t="s">
        <v>1862</v>
      </c>
      <c r="K38" t="s">
        <v>1965</v>
      </c>
    </row>
    <row r="39" spans="1:11" x14ac:dyDescent="0.3">
      <c r="A39" t="s">
        <v>884</v>
      </c>
      <c r="B39" t="s">
        <v>156</v>
      </c>
      <c r="C39" t="s">
        <v>1970</v>
      </c>
      <c r="D39" t="s">
        <v>1963</v>
      </c>
      <c r="E39" t="s">
        <v>1969</v>
      </c>
      <c r="F39" t="s">
        <v>1859</v>
      </c>
      <c r="G39" s="54">
        <v>46002</v>
      </c>
      <c r="H39" t="s">
        <v>1860</v>
      </c>
      <c r="I39" t="s">
        <v>1861</v>
      </c>
      <c r="J39" t="s">
        <v>1862</v>
      </c>
      <c r="K39" t="s">
        <v>1965</v>
      </c>
    </row>
    <row r="40" spans="1:11" x14ac:dyDescent="0.3">
      <c r="A40" t="s">
        <v>884</v>
      </c>
      <c r="B40" t="s">
        <v>156</v>
      </c>
      <c r="C40" t="s">
        <v>1971</v>
      </c>
      <c r="D40" t="s">
        <v>1963</v>
      </c>
      <c r="E40" t="s">
        <v>1969</v>
      </c>
      <c r="F40" t="s">
        <v>1859</v>
      </c>
      <c r="G40" s="54">
        <v>46002</v>
      </c>
      <c r="H40" t="s">
        <v>1860</v>
      </c>
      <c r="I40" t="s">
        <v>1861</v>
      </c>
      <c r="J40" t="s">
        <v>1862</v>
      </c>
      <c r="K40" t="s">
        <v>1965</v>
      </c>
    </row>
    <row r="41" spans="1:11" x14ac:dyDescent="0.3">
      <c r="A41" t="s">
        <v>884</v>
      </c>
      <c r="B41" t="s">
        <v>156</v>
      </c>
      <c r="C41" t="s">
        <v>1972</v>
      </c>
      <c r="D41" t="s">
        <v>1963</v>
      </c>
      <c r="E41" t="s">
        <v>1969</v>
      </c>
      <c r="F41" t="s">
        <v>1859</v>
      </c>
      <c r="G41" s="54">
        <v>46002</v>
      </c>
      <c r="H41" t="s">
        <v>1860</v>
      </c>
      <c r="I41" t="s">
        <v>1861</v>
      </c>
      <c r="J41" t="s">
        <v>1862</v>
      </c>
      <c r="K41" t="s">
        <v>1965</v>
      </c>
    </row>
    <row r="42" spans="1:11" x14ac:dyDescent="0.3">
      <c r="A42" t="s">
        <v>884</v>
      </c>
      <c r="B42" t="s">
        <v>156</v>
      </c>
      <c r="C42" t="s">
        <v>1973</v>
      </c>
      <c r="D42" t="s">
        <v>1963</v>
      </c>
      <c r="E42" t="s">
        <v>1974</v>
      </c>
      <c r="F42" t="s">
        <v>1859</v>
      </c>
      <c r="G42" s="54">
        <v>46002</v>
      </c>
      <c r="H42" t="s">
        <v>1860</v>
      </c>
      <c r="I42" t="s">
        <v>1861</v>
      </c>
      <c r="J42" t="s">
        <v>1862</v>
      </c>
      <c r="K42" t="s">
        <v>1965</v>
      </c>
    </row>
    <row r="43" spans="1:11" x14ac:dyDescent="0.3">
      <c r="A43" t="s">
        <v>884</v>
      </c>
      <c r="B43" t="s">
        <v>156</v>
      </c>
      <c r="C43" t="s">
        <v>1975</v>
      </c>
      <c r="D43" t="s">
        <v>1963</v>
      </c>
      <c r="E43" t="s">
        <v>1976</v>
      </c>
      <c r="F43" t="s">
        <v>1859</v>
      </c>
      <c r="G43" s="54">
        <v>46002</v>
      </c>
      <c r="H43" t="s">
        <v>1860</v>
      </c>
      <c r="I43" t="s">
        <v>1861</v>
      </c>
      <c r="J43" t="s">
        <v>1862</v>
      </c>
      <c r="K43" t="s">
        <v>1965</v>
      </c>
    </row>
    <row r="44" spans="1:11" x14ac:dyDescent="0.3">
      <c r="A44" t="s">
        <v>884</v>
      </c>
      <c r="B44" t="s">
        <v>156</v>
      </c>
      <c r="C44" t="s">
        <v>1977</v>
      </c>
      <c r="D44" t="s">
        <v>1963</v>
      </c>
      <c r="E44" t="s">
        <v>1978</v>
      </c>
      <c r="F44" t="s">
        <v>1859</v>
      </c>
      <c r="G44" s="54">
        <v>46002</v>
      </c>
      <c r="H44" t="s">
        <v>1860</v>
      </c>
      <c r="I44" t="s">
        <v>1861</v>
      </c>
      <c r="J44" t="s">
        <v>1862</v>
      </c>
      <c r="K44" t="s">
        <v>1965</v>
      </c>
    </row>
    <row r="45" spans="1:11" x14ac:dyDescent="0.3">
      <c r="A45" t="s">
        <v>884</v>
      </c>
      <c r="B45" t="s">
        <v>156</v>
      </c>
      <c r="C45" t="s">
        <v>1979</v>
      </c>
      <c r="D45" t="s">
        <v>1963</v>
      </c>
      <c r="E45" t="s">
        <v>1980</v>
      </c>
      <c r="F45" t="s">
        <v>1859</v>
      </c>
      <c r="G45" s="54">
        <v>46002</v>
      </c>
      <c r="H45" t="s">
        <v>1860</v>
      </c>
      <c r="I45" t="s">
        <v>1861</v>
      </c>
      <c r="J45" t="s">
        <v>1862</v>
      </c>
      <c r="K45" t="s">
        <v>1965</v>
      </c>
    </row>
    <row r="46" spans="1:11" x14ac:dyDescent="0.3">
      <c r="A46" t="s">
        <v>884</v>
      </c>
      <c r="B46" t="s">
        <v>156</v>
      </c>
      <c r="C46" t="s">
        <v>1981</v>
      </c>
      <c r="D46" t="s">
        <v>1963</v>
      </c>
      <c r="E46" t="s">
        <v>1982</v>
      </c>
      <c r="F46" t="s">
        <v>1859</v>
      </c>
      <c r="G46" s="54">
        <v>46002</v>
      </c>
      <c r="H46" t="s">
        <v>1860</v>
      </c>
      <c r="I46" t="s">
        <v>1861</v>
      </c>
      <c r="J46" t="s">
        <v>1862</v>
      </c>
      <c r="K46" t="s">
        <v>1965</v>
      </c>
    </row>
    <row r="47" spans="1:11" x14ac:dyDescent="0.3">
      <c r="A47" t="s">
        <v>884</v>
      </c>
      <c r="B47" t="s">
        <v>156</v>
      </c>
      <c r="C47" t="s">
        <v>1983</v>
      </c>
      <c r="D47" t="s">
        <v>1963</v>
      </c>
      <c r="E47" t="s">
        <v>1984</v>
      </c>
      <c r="F47" t="s">
        <v>1859</v>
      </c>
      <c r="G47" s="54">
        <v>46002</v>
      </c>
      <c r="H47" t="s">
        <v>1860</v>
      </c>
      <c r="I47" t="s">
        <v>1861</v>
      </c>
      <c r="J47" t="s">
        <v>1862</v>
      </c>
      <c r="K47" t="s">
        <v>1965</v>
      </c>
    </row>
    <row r="48" spans="1:11" x14ac:dyDescent="0.3">
      <c r="A48" t="s">
        <v>884</v>
      </c>
      <c r="B48" t="s">
        <v>156</v>
      </c>
      <c r="C48" t="s">
        <v>1985</v>
      </c>
      <c r="D48" t="s">
        <v>1963</v>
      </c>
      <c r="E48" t="s">
        <v>1986</v>
      </c>
      <c r="F48" t="s">
        <v>1859</v>
      </c>
      <c r="G48" s="54">
        <v>46002</v>
      </c>
      <c r="H48" t="s">
        <v>1860</v>
      </c>
      <c r="I48" t="s">
        <v>1861</v>
      </c>
      <c r="J48" t="s">
        <v>1862</v>
      </c>
      <c r="K48" t="s">
        <v>1965</v>
      </c>
    </row>
    <row r="49" spans="1:11" x14ac:dyDescent="0.3">
      <c r="A49" t="s">
        <v>884</v>
      </c>
      <c r="B49" t="s">
        <v>156</v>
      </c>
      <c r="C49" t="s">
        <v>1987</v>
      </c>
      <c r="D49" t="s">
        <v>1963</v>
      </c>
      <c r="E49" t="s">
        <v>1988</v>
      </c>
      <c r="F49" t="s">
        <v>1859</v>
      </c>
      <c r="G49" s="54">
        <v>46002</v>
      </c>
      <c r="H49" t="s">
        <v>1860</v>
      </c>
      <c r="I49" t="s">
        <v>1861</v>
      </c>
      <c r="J49" t="s">
        <v>1862</v>
      </c>
      <c r="K49" t="s">
        <v>1965</v>
      </c>
    </row>
    <row r="50" spans="1:11" x14ac:dyDescent="0.3">
      <c r="A50" t="s">
        <v>884</v>
      </c>
      <c r="B50" t="s">
        <v>156</v>
      </c>
      <c r="C50" t="s">
        <v>1989</v>
      </c>
      <c r="D50" t="s">
        <v>1963</v>
      </c>
      <c r="E50" t="s">
        <v>1990</v>
      </c>
      <c r="F50" t="s">
        <v>1859</v>
      </c>
      <c r="G50" s="54">
        <v>46002</v>
      </c>
      <c r="H50" t="s">
        <v>1860</v>
      </c>
      <c r="I50" t="s">
        <v>1861</v>
      </c>
      <c r="J50" t="s">
        <v>1862</v>
      </c>
      <c r="K50" t="s">
        <v>1965</v>
      </c>
    </row>
    <row r="51" spans="1:11" x14ac:dyDescent="0.3">
      <c r="A51" t="s">
        <v>884</v>
      </c>
      <c r="B51" t="s">
        <v>156</v>
      </c>
      <c r="C51" t="s">
        <v>1991</v>
      </c>
      <c r="D51" t="s">
        <v>1963</v>
      </c>
      <c r="E51" t="s">
        <v>1992</v>
      </c>
      <c r="F51" t="s">
        <v>1859</v>
      </c>
      <c r="G51" s="54">
        <v>46002</v>
      </c>
      <c r="H51" t="s">
        <v>1860</v>
      </c>
      <c r="I51" t="s">
        <v>1861</v>
      </c>
      <c r="J51" t="s">
        <v>1862</v>
      </c>
      <c r="K51" t="s">
        <v>1965</v>
      </c>
    </row>
    <row r="52" spans="1:11" x14ac:dyDescent="0.3">
      <c r="A52" t="s">
        <v>884</v>
      </c>
      <c r="B52" t="s">
        <v>1993</v>
      </c>
      <c r="C52" t="s">
        <v>1994</v>
      </c>
      <c r="D52" t="s">
        <v>1995</v>
      </c>
      <c r="E52" t="s">
        <v>1995</v>
      </c>
      <c r="F52" t="s">
        <v>1867</v>
      </c>
      <c r="G52" s="54">
        <v>46003</v>
      </c>
      <c r="H52" t="s">
        <v>1868</v>
      </c>
      <c r="I52" t="s">
        <v>1845</v>
      </c>
      <c r="J52" t="s">
        <v>1869</v>
      </c>
      <c r="K52" t="s">
        <v>1996</v>
      </c>
    </row>
    <row r="53" spans="1:11" x14ac:dyDescent="0.3">
      <c r="A53" t="s">
        <v>884</v>
      </c>
      <c r="B53" t="s">
        <v>156</v>
      </c>
      <c r="C53" t="s">
        <v>1997</v>
      </c>
      <c r="D53" t="s">
        <v>1920</v>
      </c>
      <c r="E53" t="s">
        <v>1921</v>
      </c>
      <c r="F53" t="s">
        <v>1874</v>
      </c>
      <c r="G53" s="54">
        <v>46006</v>
      </c>
      <c r="H53" t="s">
        <v>1860</v>
      </c>
      <c r="I53" t="s">
        <v>1861</v>
      </c>
      <c r="J53" t="s">
        <v>1862</v>
      </c>
      <c r="K53" t="s">
        <v>1998</v>
      </c>
    </row>
    <row r="54" spans="1:11" x14ac:dyDescent="0.3">
      <c r="A54" t="s">
        <v>884</v>
      </c>
      <c r="B54" t="s">
        <v>175</v>
      </c>
      <c r="C54" t="s">
        <v>1999</v>
      </c>
      <c r="D54" t="s">
        <v>2000</v>
      </c>
      <c r="E54" t="s">
        <v>2001</v>
      </c>
      <c r="F54" t="s">
        <v>1859</v>
      </c>
      <c r="G54" s="54">
        <v>46007</v>
      </c>
      <c r="H54" t="s">
        <v>1927</v>
      </c>
      <c r="I54" t="s">
        <v>1928</v>
      </c>
      <c r="J54" t="s">
        <v>1929</v>
      </c>
      <c r="K54" t="s">
        <v>2002</v>
      </c>
    </row>
    <row r="55" spans="1:11" x14ac:dyDescent="0.3">
      <c r="A55" t="s">
        <v>884</v>
      </c>
      <c r="B55" t="s">
        <v>175</v>
      </c>
      <c r="C55" t="s">
        <v>2003</v>
      </c>
      <c r="D55" t="s">
        <v>2004</v>
      </c>
      <c r="E55" t="s">
        <v>2005</v>
      </c>
      <c r="F55" t="s">
        <v>1859</v>
      </c>
      <c r="G55" s="54">
        <v>46010</v>
      </c>
      <c r="H55" t="s">
        <v>1860</v>
      </c>
      <c r="I55" t="s">
        <v>1861</v>
      </c>
      <c r="J55" t="s">
        <v>1862</v>
      </c>
      <c r="K55" t="s">
        <v>2006</v>
      </c>
    </row>
    <row r="56" spans="1:11" x14ac:dyDescent="0.3">
      <c r="A56" t="s">
        <v>884</v>
      </c>
      <c r="B56" t="s">
        <v>175</v>
      </c>
      <c r="C56" t="s">
        <v>2007</v>
      </c>
      <c r="D56" t="s">
        <v>2008</v>
      </c>
      <c r="E56" t="s">
        <v>2009</v>
      </c>
      <c r="F56" t="s">
        <v>1859</v>
      </c>
      <c r="G56" s="54">
        <v>46010</v>
      </c>
      <c r="H56" t="s">
        <v>1860</v>
      </c>
      <c r="I56" t="s">
        <v>1861</v>
      </c>
      <c r="J56" t="s">
        <v>1862</v>
      </c>
      <c r="K56" t="s">
        <v>2010</v>
      </c>
    </row>
    <row r="57" spans="1:11" x14ac:dyDescent="0.3">
      <c r="A57" t="s">
        <v>884</v>
      </c>
      <c r="B57" t="s">
        <v>175</v>
      </c>
      <c r="C57" t="s">
        <v>2011</v>
      </c>
      <c r="D57" t="s">
        <v>2008</v>
      </c>
      <c r="E57" t="s">
        <v>2012</v>
      </c>
      <c r="F57" t="s">
        <v>1859</v>
      </c>
      <c r="G57" s="54">
        <v>46010</v>
      </c>
      <c r="H57" t="s">
        <v>1860</v>
      </c>
      <c r="I57" t="s">
        <v>1861</v>
      </c>
      <c r="J57" t="s">
        <v>1862</v>
      </c>
      <c r="K57" t="s">
        <v>2010</v>
      </c>
    </row>
    <row r="58" spans="1:11" x14ac:dyDescent="0.3">
      <c r="A58" t="s">
        <v>884</v>
      </c>
      <c r="B58" t="s">
        <v>175</v>
      </c>
      <c r="C58" t="s">
        <v>2013</v>
      </c>
      <c r="D58" t="s">
        <v>2008</v>
      </c>
      <c r="E58" t="s">
        <v>2014</v>
      </c>
      <c r="F58" t="s">
        <v>1859</v>
      </c>
      <c r="G58" s="54">
        <v>46010</v>
      </c>
      <c r="H58" t="s">
        <v>1860</v>
      </c>
      <c r="I58" t="s">
        <v>1861</v>
      </c>
      <c r="J58" t="s">
        <v>1862</v>
      </c>
      <c r="K58" t="s">
        <v>2010</v>
      </c>
    </row>
    <row r="59" spans="1:11" x14ac:dyDescent="0.3">
      <c r="A59" t="s">
        <v>884</v>
      </c>
      <c r="B59" t="s">
        <v>156</v>
      </c>
      <c r="C59" t="s">
        <v>2015</v>
      </c>
      <c r="D59" t="s">
        <v>2016</v>
      </c>
      <c r="E59" t="s">
        <v>2017</v>
      </c>
      <c r="F59" t="s">
        <v>1874</v>
      </c>
      <c r="G59" s="54">
        <v>46019</v>
      </c>
      <c r="H59" t="s">
        <v>1860</v>
      </c>
      <c r="I59" t="s">
        <v>1861</v>
      </c>
      <c r="J59" t="s">
        <v>1862</v>
      </c>
      <c r="K59" t="s">
        <v>2018</v>
      </c>
    </row>
    <row r="60" spans="1:11" x14ac:dyDescent="0.3">
      <c r="A60" t="s">
        <v>884</v>
      </c>
      <c r="B60" t="s">
        <v>156</v>
      </c>
      <c r="C60" t="s">
        <v>2019</v>
      </c>
      <c r="D60" t="s">
        <v>2016</v>
      </c>
      <c r="E60" t="s">
        <v>2020</v>
      </c>
      <c r="F60" t="s">
        <v>1874</v>
      </c>
      <c r="G60" s="54">
        <v>46019</v>
      </c>
      <c r="H60" t="s">
        <v>1860</v>
      </c>
      <c r="I60" t="s">
        <v>1861</v>
      </c>
      <c r="J60" t="s">
        <v>1862</v>
      </c>
      <c r="K60" t="s">
        <v>2018</v>
      </c>
    </row>
    <row r="61" spans="1:11" x14ac:dyDescent="0.3">
      <c r="A61" t="s">
        <v>884</v>
      </c>
      <c r="B61" t="s">
        <v>175</v>
      </c>
      <c r="C61" t="s">
        <v>2021</v>
      </c>
      <c r="D61" t="s">
        <v>2022</v>
      </c>
      <c r="E61" t="s">
        <v>2023</v>
      </c>
      <c r="F61" t="s">
        <v>1859</v>
      </c>
      <c r="G61" s="54">
        <v>46033</v>
      </c>
      <c r="H61" t="s">
        <v>1860</v>
      </c>
      <c r="I61" t="s">
        <v>1861</v>
      </c>
      <c r="J61" t="s">
        <v>1862</v>
      </c>
      <c r="K61" t="s">
        <v>2024</v>
      </c>
    </row>
    <row r="62" spans="1:11" x14ac:dyDescent="0.3">
      <c r="A62" t="s">
        <v>884</v>
      </c>
      <c r="B62" t="s">
        <v>175</v>
      </c>
      <c r="C62" t="s">
        <v>2025</v>
      </c>
      <c r="D62" t="s">
        <v>2022</v>
      </c>
      <c r="E62" t="s">
        <v>2026</v>
      </c>
      <c r="F62" t="s">
        <v>1859</v>
      </c>
      <c r="G62" s="54">
        <v>46033</v>
      </c>
      <c r="H62" t="s">
        <v>1860</v>
      </c>
      <c r="I62" t="s">
        <v>1861</v>
      </c>
      <c r="J62" t="s">
        <v>1862</v>
      </c>
      <c r="K62" t="s">
        <v>2024</v>
      </c>
    </row>
    <row r="63" spans="1:11" x14ac:dyDescent="0.3">
      <c r="A63" t="s">
        <v>884</v>
      </c>
      <c r="B63" t="s">
        <v>175</v>
      </c>
      <c r="C63" t="s">
        <v>2027</v>
      </c>
      <c r="D63" t="s">
        <v>2028</v>
      </c>
      <c r="E63" t="s">
        <v>2028</v>
      </c>
      <c r="F63" t="s">
        <v>1859</v>
      </c>
      <c r="G63" s="54">
        <v>46033</v>
      </c>
      <c r="H63" t="s">
        <v>1860</v>
      </c>
      <c r="I63" t="s">
        <v>1861</v>
      </c>
      <c r="J63" t="s">
        <v>1862</v>
      </c>
      <c r="K63" t="s">
        <v>2029</v>
      </c>
    </row>
    <row r="64" spans="1:11" x14ac:dyDescent="0.3">
      <c r="A64" t="s">
        <v>884</v>
      </c>
      <c r="B64" t="s">
        <v>175</v>
      </c>
      <c r="C64" t="s">
        <v>2030</v>
      </c>
      <c r="D64" t="s">
        <v>2028</v>
      </c>
      <c r="E64" t="s">
        <v>2031</v>
      </c>
      <c r="F64" t="s">
        <v>1859</v>
      </c>
      <c r="G64" s="54">
        <v>46033</v>
      </c>
      <c r="H64" t="s">
        <v>1860</v>
      </c>
      <c r="I64" t="s">
        <v>1861</v>
      </c>
      <c r="J64" t="s">
        <v>1862</v>
      </c>
      <c r="K64" t="s">
        <v>2029</v>
      </c>
    </row>
    <row r="65" spans="1:11" x14ac:dyDescent="0.3">
      <c r="A65" t="s">
        <v>884</v>
      </c>
      <c r="B65" t="s">
        <v>156</v>
      </c>
      <c r="C65" t="s">
        <v>2032</v>
      </c>
      <c r="D65" t="s">
        <v>2033</v>
      </c>
      <c r="E65" t="s">
        <v>2034</v>
      </c>
      <c r="F65" t="s">
        <v>1874</v>
      </c>
      <c r="G65" s="54">
        <v>46033</v>
      </c>
      <c r="H65" t="s">
        <v>1860</v>
      </c>
      <c r="I65" t="s">
        <v>1861</v>
      </c>
      <c r="J65" t="s">
        <v>1862</v>
      </c>
      <c r="K65" t="s">
        <v>2035</v>
      </c>
    </row>
    <row r="66" spans="1:11" x14ac:dyDescent="0.3">
      <c r="A66" t="s">
        <v>884</v>
      </c>
      <c r="B66" t="s">
        <v>175</v>
      </c>
      <c r="C66" t="s">
        <v>2036</v>
      </c>
      <c r="D66" t="s">
        <v>2037</v>
      </c>
      <c r="E66" t="s">
        <v>2038</v>
      </c>
      <c r="F66" t="s">
        <v>1859</v>
      </c>
      <c r="G66" s="54">
        <v>46042</v>
      </c>
      <c r="H66" t="s">
        <v>1860</v>
      </c>
      <c r="I66" t="s">
        <v>1861</v>
      </c>
      <c r="J66" t="s">
        <v>1862</v>
      </c>
      <c r="K66" t="s">
        <v>2039</v>
      </c>
    </row>
    <row r="67" spans="1:11" x14ac:dyDescent="0.3">
      <c r="A67" t="s">
        <v>884</v>
      </c>
      <c r="B67" t="s">
        <v>175</v>
      </c>
      <c r="C67" t="s">
        <v>2040</v>
      </c>
      <c r="D67" t="s">
        <v>2041</v>
      </c>
      <c r="E67" t="s">
        <v>2042</v>
      </c>
      <c r="F67" t="s">
        <v>1859</v>
      </c>
      <c r="G67" s="54">
        <v>46044</v>
      </c>
      <c r="H67" t="s">
        <v>1860</v>
      </c>
      <c r="I67" t="s">
        <v>1861</v>
      </c>
      <c r="J67" t="s">
        <v>1862</v>
      </c>
      <c r="K67" t="s">
        <v>2043</v>
      </c>
    </row>
    <row r="68" spans="1:11" x14ac:dyDescent="0.3">
      <c r="A68" t="s">
        <v>884</v>
      </c>
      <c r="B68" t="s">
        <v>156</v>
      </c>
      <c r="C68" t="s">
        <v>2044</v>
      </c>
      <c r="D68" t="s">
        <v>2045</v>
      </c>
      <c r="E68" t="s">
        <v>2046</v>
      </c>
      <c r="F68" t="s">
        <v>1874</v>
      </c>
      <c r="G68" s="54">
        <v>46058</v>
      </c>
      <c r="H68" t="s">
        <v>1868</v>
      </c>
      <c r="I68" t="s">
        <v>1845</v>
      </c>
      <c r="J68" t="s">
        <v>1869</v>
      </c>
      <c r="K68" t="s">
        <v>2047</v>
      </c>
    </row>
    <row r="69" spans="1:11" x14ac:dyDescent="0.3">
      <c r="A69" t="s">
        <v>884</v>
      </c>
      <c r="B69" t="s">
        <v>156</v>
      </c>
      <c r="C69" t="s">
        <v>2048</v>
      </c>
      <c r="D69" t="s">
        <v>2049</v>
      </c>
      <c r="E69" t="s">
        <v>2050</v>
      </c>
      <c r="F69" t="s">
        <v>1874</v>
      </c>
      <c r="G69" s="54">
        <v>46066</v>
      </c>
      <c r="H69" t="s">
        <v>1868</v>
      </c>
      <c r="I69" t="s">
        <v>1845</v>
      </c>
      <c r="J69" t="s">
        <v>1869</v>
      </c>
      <c r="K69" t="s">
        <v>2051</v>
      </c>
    </row>
    <row r="70" spans="1:11" x14ac:dyDescent="0.3">
      <c r="A70" t="s">
        <v>884</v>
      </c>
      <c r="B70" t="s">
        <v>156</v>
      </c>
      <c r="C70" t="s">
        <v>2052</v>
      </c>
      <c r="D70" t="s">
        <v>2053</v>
      </c>
      <c r="E70" t="s">
        <v>2054</v>
      </c>
      <c r="F70" t="s">
        <v>1874</v>
      </c>
      <c r="G70" s="54">
        <v>46067</v>
      </c>
      <c r="H70" t="s">
        <v>1868</v>
      </c>
      <c r="I70" t="s">
        <v>1845</v>
      </c>
      <c r="J70" t="s">
        <v>1869</v>
      </c>
      <c r="K70" t="s">
        <v>2055</v>
      </c>
    </row>
    <row r="71" spans="1:11" x14ac:dyDescent="0.3">
      <c r="A71" t="s">
        <v>884</v>
      </c>
      <c r="B71" t="s">
        <v>2056</v>
      </c>
      <c r="C71" t="s">
        <v>2057</v>
      </c>
      <c r="D71" t="s">
        <v>2058</v>
      </c>
      <c r="E71" t="s">
        <v>2059</v>
      </c>
      <c r="F71" t="s">
        <v>1859</v>
      </c>
      <c r="G71" s="54">
        <v>46071</v>
      </c>
      <c r="H71" t="s">
        <v>1860</v>
      </c>
      <c r="I71" t="s">
        <v>1861</v>
      </c>
      <c r="J71" t="s">
        <v>1862</v>
      </c>
      <c r="K71" t="s">
        <v>2060</v>
      </c>
    </row>
    <row r="72" spans="1:11" x14ac:dyDescent="0.3">
      <c r="A72" t="s">
        <v>884</v>
      </c>
      <c r="B72" t="s">
        <v>175</v>
      </c>
      <c r="C72" t="s">
        <v>2061</v>
      </c>
      <c r="D72" t="s">
        <v>2062</v>
      </c>
      <c r="E72" t="s">
        <v>2063</v>
      </c>
      <c r="F72" t="s">
        <v>1859</v>
      </c>
      <c r="G72" s="54">
        <v>46077</v>
      </c>
      <c r="H72" t="s">
        <v>1860</v>
      </c>
      <c r="I72" t="s">
        <v>1861</v>
      </c>
      <c r="J72" t="s">
        <v>1862</v>
      </c>
      <c r="K72" t="s">
        <v>2064</v>
      </c>
    </row>
    <row r="73" spans="1:11" x14ac:dyDescent="0.3">
      <c r="A73" t="s">
        <v>884</v>
      </c>
      <c r="B73" t="s">
        <v>175</v>
      </c>
      <c r="C73" t="s">
        <v>2065</v>
      </c>
      <c r="D73" t="s">
        <v>2062</v>
      </c>
      <c r="E73" t="s">
        <v>2066</v>
      </c>
      <c r="F73" t="s">
        <v>1859</v>
      </c>
      <c r="G73" s="54">
        <v>46077</v>
      </c>
      <c r="H73" t="s">
        <v>1860</v>
      </c>
      <c r="I73" t="s">
        <v>1861</v>
      </c>
      <c r="J73" t="s">
        <v>1862</v>
      </c>
      <c r="K73" t="s">
        <v>2064</v>
      </c>
    </row>
    <row r="74" spans="1:11" x14ac:dyDescent="0.3">
      <c r="A74" t="s">
        <v>884</v>
      </c>
      <c r="B74" t="s">
        <v>175</v>
      </c>
      <c r="C74" t="s">
        <v>2067</v>
      </c>
      <c r="D74" t="s">
        <v>2068</v>
      </c>
      <c r="E74" t="s">
        <v>2069</v>
      </c>
      <c r="F74" t="s">
        <v>1859</v>
      </c>
      <c r="G74" s="54">
        <v>46077</v>
      </c>
      <c r="H74" t="s">
        <v>1860</v>
      </c>
      <c r="I74" t="s">
        <v>1861</v>
      </c>
      <c r="J74" t="s">
        <v>1862</v>
      </c>
      <c r="K74" t="s">
        <v>2070</v>
      </c>
    </row>
    <row r="75" spans="1:11" x14ac:dyDescent="0.3">
      <c r="A75" t="s">
        <v>884</v>
      </c>
      <c r="B75" t="s">
        <v>175</v>
      </c>
      <c r="C75" t="s">
        <v>2071</v>
      </c>
      <c r="D75" t="s">
        <v>2068</v>
      </c>
      <c r="E75" t="s">
        <v>2072</v>
      </c>
      <c r="F75" t="s">
        <v>1859</v>
      </c>
      <c r="G75" s="54">
        <v>46077</v>
      </c>
      <c r="H75" t="s">
        <v>1860</v>
      </c>
      <c r="I75" t="s">
        <v>1861</v>
      </c>
      <c r="J75" t="s">
        <v>1862</v>
      </c>
      <c r="K75" t="s">
        <v>2070</v>
      </c>
    </row>
    <row r="76" spans="1:11" x14ac:dyDescent="0.3">
      <c r="A76" t="s">
        <v>884</v>
      </c>
      <c r="B76" t="s">
        <v>156</v>
      </c>
      <c r="C76" t="s">
        <v>2073</v>
      </c>
      <c r="D76" t="s">
        <v>2074</v>
      </c>
      <c r="E76" t="s">
        <v>2074</v>
      </c>
      <c r="F76" t="s">
        <v>1859</v>
      </c>
      <c r="G76" s="54">
        <v>46080</v>
      </c>
      <c r="H76" t="s">
        <v>1860</v>
      </c>
      <c r="I76" t="s">
        <v>1861</v>
      </c>
      <c r="J76" t="s">
        <v>1862</v>
      </c>
      <c r="K76" t="s">
        <v>2075</v>
      </c>
    </row>
    <row r="77" spans="1:11" x14ac:dyDescent="0.3">
      <c r="A77" t="s">
        <v>884</v>
      </c>
      <c r="B77" t="s">
        <v>175</v>
      </c>
      <c r="C77" t="s">
        <v>2076</v>
      </c>
      <c r="D77" t="s">
        <v>2077</v>
      </c>
      <c r="E77" t="s">
        <v>2078</v>
      </c>
      <c r="F77" t="s">
        <v>1859</v>
      </c>
      <c r="G77" s="54">
        <v>46081</v>
      </c>
      <c r="H77" t="s">
        <v>2079</v>
      </c>
      <c r="I77" t="s">
        <v>1845</v>
      </c>
      <c r="J77" t="s">
        <v>2080</v>
      </c>
      <c r="K77" t="s">
        <v>2081</v>
      </c>
    </row>
    <row r="78" spans="1:11" x14ac:dyDescent="0.3">
      <c r="A78" t="s">
        <v>884</v>
      </c>
      <c r="B78" t="s">
        <v>175</v>
      </c>
      <c r="C78" t="s">
        <v>2082</v>
      </c>
      <c r="D78" t="s">
        <v>2083</v>
      </c>
      <c r="E78" t="s">
        <v>2084</v>
      </c>
      <c r="F78" t="s">
        <v>1859</v>
      </c>
      <c r="G78" s="54">
        <v>46081</v>
      </c>
      <c r="H78" t="s">
        <v>1860</v>
      </c>
      <c r="I78" t="s">
        <v>1861</v>
      </c>
      <c r="J78" t="s">
        <v>1862</v>
      </c>
      <c r="K78" t="s">
        <v>2085</v>
      </c>
    </row>
    <row r="79" spans="1:11" x14ac:dyDescent="0.3">
      <c r="A79" t="s">
        <v>884</v>
      </c>
      <c r="B79" t="s">
        <v>175</v>
      </c>
      <c r="C79" t="s">
        <v>2086</v>
      </c>
      <c r="D79" t="s">
        <v>2087</v>
      </c>
      <c r="E79" t="s">
        <v>2088</v>
      </c>
      <c r="F79" t="s">
        <v>1859</v>
      </c>
      <c r="G79" s="54">
        <v>46081</v>
      </c>
      <c r="H79" t="s">
        <v>1860</v>
      </c>
      <c r="I79" t="s">
        <v>1861</v>
      </c>
      <c r="J79" t="s">
        <v>1862</v>
      </c>
      <c r="K79" t="s">
        <v>2089</v>
      </c>
    </row>
    <row r="80" spans="1:11" x14ac:dyDescent="0.3">
      <c r="A80" t="s">
        <v>884</v>
      </c>
      <c r="B80" t="s">
        <v>175</v>
      </c>
      <c r="C80" t="s">
        <v>2090</v>
      </c>
      <c r="D80" t="s">
        <v>2087</v>
      </c>
      <c r="E80" t="s">
        <v>2091</v>
      </c>
      <c r="F80" t="s">
        <v>1859</v>
      </c>
      <c r="G80" s="54">
        <v>46081</v>
      </c>
      <c r="H80" t="s">
        <v>1860</v>
      </c>
      <c r="I80" t="s">
        <v>1861</v>
      </c>
      <c r="J80" t="s">
        <v>1862</v>
      </c>
      <c r="K80" t="s">
        <v>2089</v>
      </c>
    </row>
    <row r="81" spans="1:11" x14ac:dyDescent="0.3">
      <c r="A81" t="s">
        <v>884</v>
      </c>
      <c r="B81" t="s">
        <v>156</v>
      </c>
      <c r="C81" t="s">
        <v>2092</v>
      </c>
      <c r="D81" t="s">
        <v>2093</v>
      </c>
      <c r="E81" t="s">
        <v>2094</v>
      </c>
      <c r="F81" t="s">
        <v>1859</v>
      </c>
      <c r="G81" s="54">
        <v>46081</v>
      </c>
      <c r="H81" t="s">
        <v>1860</v>
      </c>
      <c r="I81" t="s">
        <v>1861</v>
      </c>
      <c r="J81" t="s">
        <v>1862</v>
      </c>
      <c r="K81" t="s">
        <v>2095</v>
      </c>
    </row>
    <row r="82" spans="1:11" x14ac:dyDescent="0.3">
      <c r="A82" t="s">
        <v>884</v>
      </c>
      <c r="B82" t="s">
        <v>175</v>
      </c>
      <c r="C82" t="s">
        <v>2096</v>
      </c>
      <c r="D82" t="s">
        <v>2097</v>
      </c>
      <c r="E82" t="s">
        <v>2098</v>
      </c>
      <c r="F82" t="s">
        <v>1859</v>
      </c>
      <c r="G82" s="54">
        <v>46081</v>
      </c>
      <c r="H82" t="s">
        <v>1860</v>
      </c>
      <c r="I82" t="s">
        <v>1861</v>
      </c>
      <c r="J82" t="s">
        <v>1862</v>
      </c>
      <c r="K82" t="s">
        <v>2099</v>
      </c>
    </row>
    <row r="83" spans="1:11" x14ac:dyDescent="0.3">
      <c r="A83" t="s">
        <v>884</v>
      </c>
      <c r="B83" t="s">
        <v>175</v>
      </c>
      <c r="C83" t="s">
        <v>2100</v>
      </c>
      <c r="D83" t="s">
        <v>2101</v>
      </c>
      <c r="E83" t="s">
        <v>2102</v>
      </c>
      <c r="F83" t="s">
        <v>1859</v>
      </c>
      <c r="G83" s="54">
        <v>46090</v>
      </c>
      <c r="H83" t="s">
        <v>1860</v>
      </c>
      <c r="I83" t="s">
        <v>1861</v>
      </c>
      <c r="J83" t="s">
        <v>1862</v>
      </c>
      <c r="K83" t="s">
        <v>2103</v>
      </c>
    </row>
    <row r="84" spans="1:11" x14ac:dyDescent="0.3">
      <c r="A84" t="s">
        <v>884</v>
      </c>
      <c r="B84" t="s">
        <v>175</v>
      </c>
      <c r="C84" t="s">
        <v>2104</v>
      </c>
      <c r="D84" t="s">
        <v>2105</v>
      </c>
      <c r="E84" t="s">
        <v>2106</v>
      </c>
      <c r="F84" t="s">
        <v>1859</v>
      </c>
      <c r="G84" s="54">
        <v>46090</v>
      </c>
      <c r="H84" t="s">
        <v>1860</v>
      </c>
      <c r="I84" t="s">
        <v>1861</v>
      </c>
      <c r="J84" t="s">
        <v>1862</v>
      </c>
      <c r="K84" t="s">
        <v>2107</v>
      </c>
    </row>
    <row r="85" spans="1:11" x14ac:dyDescent="0.3">
      <c r="A85" t="s">
        <v>884</v>
      </c>
      <c r="B85" t="s">
        <v>156</v>
      </c>
      <c r="C85" t="s">
        <v>2108</v>
      </c>
      <c r="D85" t="s">
        <v>2109</v>
      </c>
      <c r="E85" t="s">
        <v>2110</v>
      </c>
      <c r="F85" t="s">
        <v>1874</v>
      </c>
      <c r="G85" s="54">
        <v>46095</v>
      </c>
      <c r="H85" t="s">
        <v>1868</v>
      </c>
      <c r="I85" t="s">
        <v>1845</v>
      </c>
      <c r="J85" t="s">
        <v>1869</v>
      </c>
      <c r="K85" t="s">
        <v>2111</v>
      </c>
    </row>
    <row r="86" spans="1:11" x14ac:dyDescent="0.3">
      <c r="A86" t="s">
        <v>884</v>
      </c>
      <c r="B86" t="s">
        <v>156</v>
      </c>
      <c r="C86" t="s">
        <v>2112</v>
      </c>
      <c r="D86" t="s">
        <v>2113</v>
      </c>
      <c r="E86" t="s">
        <v>2114</v>
      </c>
      <c r="F86" t="s">
        <v>1874</v>
      </c>
      <c r="G86" s="54">
        <v>46102</v>
      </c>
      <c r="H86" t="s">
        <v>1844</v>
      </c>
      <c r="I86" t="s">
        <v>1845</v>
      </c>
      <c r="J86" t="s">
        <v>1846</v>
      </c>
      <c r="K86" t="s">
        <v>2115</v>
      </c>
    </row>
    <row r="87" spans="1:11" x14ac:dyDescent="0.3">
      <c r="A87" t="s">
        <v>884</v>
      </c>
      <c r="B87" t="s">
        <v>156</v>
      </c>
      <c r="C87" t="s">
        <v>2116</v>
      </c>
      <c r="D87" t="s">
        <v>2117</v>
      </c>
      <c r="E87" t="s">
        <v>2118</v>
      </c>
      <c r="F87" t="s">
        <v>1859</v>
      </c>
      <c r="G87" s="54">
        <v>46118</v>
      </c>
      <c r="H87" t="s">
        <v>1860</v>
      </c>
      <c r="I87" t="s">
        <v>1861</v>
      </c>
      <c r="J87" t="s">
        <v>1862</v>
      </c>
      <c r="K87" t="s">
        <v>2119</v>
      </c>
    </row>
    <row r="88" spans="1:11" x14ac:dyDescent="0.3">
      <c r="A88" t="s">
        <v>884</v>
      </c>
      <c r="B88" t="s">
        <v>175</v>
      </c>
      <c r="C88" t="s">
        <v>2120</v>
      </c>
      <c r="D88" t="s">
        <v>2121</v>
      </c>
      <c r="E88" t="s">
        <v>2122</v>
      </c>
      <c r="F88" t="s">
        <v>1859</v>
      </c>
      <c r="G88" s="54">
        <v>46120</v>
      </c>
      <c r="H88" t="s">
        <v>1860</v>
      </c>
      <c r="I88" t="s">
        <v>1861</v>
      </c>
      <c r="J88" t="s">
        <v>1862</v>
      </c>
      <c r="K88" t="s">
        <v>2123</v>
      </c>
    </row>
    <row r="89" spans="1:11" x14ac:dyDescent="0.3">
      <c r="A89" t="s">
        <v>884</v>
      </c>
      <c r="B89" t="s">
        <v>156</v>
      </c>
      <c r="C89" t="s">
        <v>2124</v>
      </c>
      <c r="D89" t="s">
        <v>2125</v>
      </c>
      <c r="E89" t="s">
        <v>2126</v>
      </c>
      <c r="F89" t="s">
        <v>1859</v>
      </c>
      <c r="G89" s="54">
        <v>46120</v>
      </c>
      <c r="H89" t="s">
        <v>1860</v>
      </c>
      <c r="I89" t="s">
        <v>1861</v>
      </c>
      <c r="J89" t="s">
        <v>1862</v>
      </c>
      <c r="K89" t="s">
        <v>2127</v>
      </c>
    </row>
    <row r="90" spans="1:11" x14ac:dyDescent="0.3">
      <c r="A90" t="s">
        <v>884</v>
      </c>
      <c r="B90" t="s">
        <v>156</v>
      </c>
      <c r="C90" t="s">
        <v>2128</v>
      </c>
      <c r="D90" t="s">
        <v>2129</v>
      </c>
      <c r="E90" t="s">
        <v>2130</v>
      </c>
      <c r="F90" t="s">
        <v>1859</v>
      </c>
      <c r="G90" s="54">
        <v>46147</v>
      </c>
      <c r="H90" t="s">
        <v>1860</v>
      </c>
      <c r="I90" t="s">
        <v>1861</v>
      </c>
      <c r="J90" t="s">
        <v>1862</v>
      </c>
      <c r="K90" t="s">
        <v>2131</v>
      </c>
    </row>
    <row r="91" spans="1:11" x14ac:dyDescent="0.3">
      <c r="A91" t="s">
        <v>884</v>
      </c>
      <c r="B91" t="s">
        <v>156</v>
      </c>
      <c r="C91" t="s">
        <v>2132</v>
      </c>
      <c r="D91" t="s">
        <v>2133</v>
      </c>
      <c r="E91" t="s">
        <v>2134</v>
      </c>
      <c r="F91" t="s">
        <v>1874</v>
      </c>
      <c r="G91" s="54">
        <v>46164</v>
      </c>
      <c r="H91" t="s">
        <v>1860</v>
      </c>
      <c r="I91" t="s">
        <v>1861</v>
      </c>
      <c r="J91" t="s">
        <v>1862</v>
      </c>
      <c r="K91" t="s">
        <v>2135</v>
      </c>
    </row>
    <row r="92" spans="1:11" x14ac:dyDescent="0.3">
      <c r="A92" t="s">
        <v>884</v>
      </c>
      <c r="B92" t="s">
        <v>156</v>
      </c>
      <c r="C92" t="s">
        <v>2136</v>
      </c>
      <c r="D92" t="s">
        <v>2137</v>
      </c>
      <c r="E92" t="s">
        <v>2138</v>
      </c>
      <c r="F92" t="s">
        <v>1874</v>
      </c>
      <c r="G92" s="54">
        <v>46164</v>
      </c>
      <c r="H92" t="s">
        <v>1860</v>
      </c>
      <c r="I92" t="s">
        <v>1861</v>
      </c>
      <c r="J92" t="s">
        <v>1862</v>
      </c>
      <c r="K92" t="s">
        <v>2139</v>
      </c>
    </row>
    <row r="93" spans="1:11" x14ac:dyDescent="0.3">
      <c r="A93" t="s">
        <v>884</v>
      </c>
      <c r="B93" t="s">
        <v>156</v>
      </c>
      <c r="C93" t="s">
        <v>2140</v>
      </c>
      <c r="D93" t="s">
        <v>2141</v>
      </c>
      <c r="E93" t="s">
        <v>2142</v>
      </c>
      <c r="F93" t="s">
        <v>1874</v>
      </c>
      <c r="G93" s="54">
        <v>46164</v>
      </c>
      <c r="H93" t="s">
        <v>1860</v>
      </c>
      <c r="I93" t="s">
        <v>1861</v>
      </c>
      <c r="J93" t="s">
        <v>1862</v>
      </c>
      <c r="K93" t="s">
        <v>2143</v>
      </c>
    </row>
    <row r="94" spans="1:11" x14ac:dyDescent="0.3">
      <c r="A94" t="s">
        <v>884</v>
      </c>
      <c r="B94" t="s">
        <v>156</v>
      </c>
      <c r="C94" t="s">
        <v>2144</v>
      </c>
      <c r="D94" t="s">
        <v>2145</v>
      </c>
      <c r="E94" t="s">
        <v>2145</v>
      </c>
      <c r="F94" t="s">
        <v>1874</v>
      </c>
      <c r="G94" s="54">
        <v>46164</v>
      </c>
      <c r="H94" t="s">
        <v>1860</v>
      </c>
      <c r="I94" t="s">
        <v>1861</v>
      </c>
      <c r="J94" t="s">
        <v>1862</v>
      </c>
      <c r="K94" t="s">
        <v>2146</v>
      </c>
    </row>
    <row r="95" spans="1:11" x14ac:dyDescent="0.3">
      <c r="A95" t="s">
        <v>884</v>
      </c>
      <c r="B95" t="s">
        <v>1993</v>
      </c>
      <c r="C95" t="s">
        <v>2147</v>
      </c>
      <c r="D95" t="s">
        <v>2148</v>
      </c>
      <c r="E95" t="s">
        <v>2149</v>
      </c>
      <c r="F95" t="s">
        <v>1874</v>
      </c>
      <c r="G95" s="54">
        <v>46166</v>
      </c>
      <c r="H95" t="s">
        <v>1868</v>
      </c>
      <c r="I95" t="s">
        <v>1845</v>
      </c>
      <c r="J95" t="s">
        <v>1869</v>
      </c>
      <c r="K95" t="s">
        <v>2150</v>
      </c>
    </row>
    <row r="96" spans="1:11" x14ac:dyDescent="0.3">
      <c r="A96" t="s">
        <v>884</v>
      </c>
      <c r="B96" t="s">
        <v>156</v>
      </c>
      <c r="C96" t="s">
        <v>2151</v>
      </c>
      <c r="D96" t="s">
        <v>2152</v>
      </c>
      <c r="E96" t="s">
        <v>2153</v>
      </c>
      <c r="F96" t="s">
        <v>1874</v>
      </c>
      <c r="G96" s="54">
        <v>46174</v>
      </c>
      <c r="H96" t="s">
        <v>1860</v>
      </c>
      <c r="I96" t="s">
        <v>1861</v>
      </c>
      <c r="J96" t="s">
        <v>1862</v>
      </c>
      <c r="K96" t="s">
        <v>2154</v>
      </c>
    </row>
    <row r="97" spans="1:11" x14ac:dyDescent="0.3">
      <c r="A97" t="s">
        <v>884</v>
      </c>
      <c r="B97" t="s">
        <v>156</v>
      </c>
      <c r="C97" t="s">
        <v>2155</v>
      </c>
      <c r="D97" t="s">
        <v>2152</v>
      </c>
      <c r="E97" t="s">
        <v>2156</v>
      </c>
      <c r="F97" t="s">
        <v>1874</v>
      </c>
      <c r="G97" s="54">
        <v>46174</v>
      </c>
      <c r="H97" t="s">
        <v>1860</v>
      </c>
      <c r="I97" t="s">
        <v>1861</v>
      </c>
      <c r="J97" t="s">
        <v>1862</v>
      </c>
      <c r="K97" t="s">
        <v>2154</v>
      </c>
    </row>
    <row r="98" spans="1:11" x14ac:dyDescent="0.3">
      <c r="A98" t="s">
        <v>884</v>
      </c>
      <c r="B98" t="s">
        <v>156</v>
      </c>
      <c r="C98" t="s">
        <v>2157</v>
      </c>
      <c r="D98" t="s">
        <v>2158</v>
      </c>
      <c r="E98" t="s">
        <v>2159</v>
      </c>
      <c r="F98" t="s">
        <v>1874</v>
      </c>
      <c r="G98" s="54">
        <v>46175</v>
      </c>
      <c r="H98" t="s">
        <v>1860</v>
      </c>
      <c r="I98" t="s">
        <v>1861</v>
      </c>
      <c r="J98" t="s">
        <v>1862</v>
      </c>
      <c r="K98" t="s">
        <v>2160</v>
      </c>
    </row>
    <row r="99" spans="1:11" x14ac:dyDescent="0.3">
      <c r="A99" t="s">
        <v>884</v>
      </c>
      <c r="B99" t="s">
        <v>156</v>
      </c>
      <c r="C99" t="s">
        <v>2161</v>
      </c>
      <c r="D99" t="s">
        <v>2162</v>
      </c>
      <c r="E99" t="s">
        <v>2163</v>
      </c>
      <c r="F99" t="s">
        <v>1874</v>
      </c>
      <c r="G99" s="54">
        <v>46175</v>
      </c>
      <c r="H99" t="s">
        <v>1860</v>
      </c>
      <c r="I99" t="s">
        <v>1861</v>
      </c>
      <c r="J99" t="s">
        <v>1862</v>
      </c>
      <c r="K99" t="s">
        <v>2164</v>
      </c>
    </row>
    <row r="100" spans="1:11" x14ac:dyDescent="0.3">
      <c r="A100" t="s">
        <v>884</v>
      </c>
      <c r="B100" t="s">
        <v>156</v>
      </c>
      <c r="C100" t="s">
        <v>2165</v>
      </c>
      <c r="D100" t="s">
        <v>2166</v>
      </c>
      <c r="E100" t="s">
        <v>2167</v>
      </c>
      <c r="F100" t="s">
        <v>1874</v>
      </c>
      <c r="G100" s="54">
        <v>46175</v>
      </c>
      <c r="H100" t="s">
        <v>1860</v>
      </c>
      <c r="I100" t="s">
        <v>1861</v>
      </c>
      <c r="J100" t="s">
        <v>1862</v>
      </c>
      <c r="K100" t="s">
        <v>2168</v>
      </c>
    </row>
    <row r="101" spans="1:11" x14ac:dyDescent="0.3">
      <c r="A101" t="s">
        <v>884</v>
      </c>
      <c r="B101" t="s">
        <v>175</v>
      </c>
      <c r="C101" t="s">
        <v>2169</v>
      </c>
      <c r="D101" t="s">
        <v>2170</v>
      </c>
      <c r="E101" t="s">
        <v>2171</v>
      </c>
      <c r="F101" t="s">
        <v>1859</v>
      </c>
      <c r="G101" s="54">
        <v>46183</v>
      </c>
      <c r="H101" t="s">
        <v>1860</v>
      </c>
      <c r="I101" t="s">
        <v>1861</v>
      </c>
      <c r="J101" t="s">
        <v>1862</v>
      </c>
      <c r="K101" t="s">
        <v>2172</v>
      </c>
    </row>
    <row r="102" spans="1:11" x14ac:dyDescent="0.3">
      <c r="A102" t="s">
        <v>884</v>
      </c>
      <c r="B102" t="s">
        <v>175</v>
      </c>
      <c r="C102" t="s">
        <v>2173</v>
      </c>
      <c r="D102" t="s">
        <v>2174</v>
      </c>
      <c r="E102" t="s">
        <v>2175</v>
      </c>
      <c r="F102" t="s">
        <v>1859</v>
      </c>
      <c r="G102" s="54">
        <v>46183</v>
      </c>
      <c r="H102" t="s">
        <v>1860</v>
      </c>
      <c r="I102" t="s">
        <v>1861</v>
      </c>
      <c r="J102" t="s">
        <v>1862</v>
      </c>
      <c r="K102" t="s">
        <v>2176</v>
      </c>
    </row>
    <row r="103" spans="1:11" x14ac:dyDescent="0.3">
      <c r="A103" t="s">
        <v>884</v>
      </c>
      <c r="B103" t="s">
        <v>175</v>
      </c>
      <c r="C103" t="s">
        <v>2177</v>
      </c>
      <c r="D103" t="s">
        <v>2178</v>
      </c>
      <c r="E103" t="s">
        <v>2179</v>
      </c>
      <c r="F103" t="s">
        <v>1859</v>
      </c>
      <c r="G103" s="54">
        <v>46184</v>
      </c>
      <c r="H103" t="s">
        <v>1860</v>
      </c>
      <c r="I103" t="s">
        <v>1861</v>
      </c>
      <c r="J103" t="s">
        <v>1862</v>
      </c>
      <c r="K103" t="s">
        <v>2180</v>
      </c>
    </row>
    <row r="104" spans="1:11" x14ac:dyDescent="0.3">
      <c r="A104" t="s">
        <v>884</v>
      </c>
      <c r="B104" t="s">
        <v>156</v>
      </c>
      <c r="C104" t="s">
        <v>2181</v>
      </c>
      <c r="D104" t="s">
        <v>2182</v>
      </c>
      <c r="E104" t="s">
        <v>2183</v>
      </c>
      <c r="F104" t="s">
        <v>1874</v>
      </c>
      <c r="G104" s="54">
        <v>46188</v>
      </c>
      <c r="H104" t="s">
        <v>1844</v>
      </c>
      <c r="I104" t="s">
        <v>1845</v>
      </c>
      <c r="J104" t="s">
        <v>1846</v>
      </c>
      <c r="K104" t="s">
        <v>2184</v>
      </c>
    </row>
    <row r="105" spans="1:11" x14ac:dyDescent="0.3">
      <c r="A105" t="s">
        <v>884</v>
      </c>
      <c r="B105" t="s">
        <v>175</v>
      </c>
      <c r="C105" t="s">
        <v>2185</v>
      </c>
      <c r="D105" t="s">
        <v>2186</v>
      </c>
      <c r="E105" t="s">
        <v>2187</v>
      </c>
      <c r="F105" t="s">
        <v>1859</v>
      </c>
      <c r="G105" s="54">
        <v>46190</v>
      </c>
      <c r="H105" t="s">
        <v>1860</v>
      </c>
      <c r="I105" t="s">
        <v>1861</v>
      </c>
      <c r="J105" t="s">
        <v>1862</v>
      </c>
      <c r="K105" t="s">
        <v>2188</v>
      </c>
    </row>
    <row r="106" spans="1:11" x14ac:dyDescent="0.3">
      <c r="A106" t="s">
        <v>884</v>
      </c>
      <c r="B106" t="s">
        <v>175</v>
      </c>
      <c r="C106" t="s">
        <v>2189</v>
      </c>
      <c r="D106" t="s">
        <v>2186</v>
      </c>
      <c r="E106" t="s">
        <v>2190</v>
      </c>
      <c r="F106" t="s">
        <v>1859</v>
      </c>
      <c r="G106" s="54">
        <v>46190</v>
      </c>
      <c r="H106" t="s">
        <v>1860</v>
      </c>
      <c r="I106" t="s">
        <v>1861</v>
      </c>
      <c r="J106" t="s">
        <v>1862</v>
      </c>
      <c r="K106" t="s">
        <v>2188</v>
      </c>
    </row>
    <row r="107" spans="1:11" x14ac:dyDescent="0.3">
      <c r="A107" t="s">
        <v>884</v>
      </c>
      <c r="B107" t="s">
        <v>156</v>
      </c>
      <c r="C107" t="s">
        <v>2191</v>
      </c>
      <c r="D107" t="s">
        <v>2192</v>
      </c>
      <c r="E107" t="s">
        <v>2192</v>
      </c>
      <c r="F107" t="s">
        <v>1874</v>
      </c>
      <c r="G107" s="54">
        <v>46194</v>
      </c>
      <c r="H107" t="s">
        <v>1860</v>
      </c>
      <c r="I107" t="s">
        <v>1861</v>
      </c>
      <c r="J107" t="s">
        <v>1862</v>
      </c>
      <c r="K107" t="s">
        <v>2193</v>
      </c>
    </row>
    <row r="108" spans="1:11" x14ac:dyDescent="0.3">
      <c r="A108" t="s">
        <v>884</v>
      </c>
      <c r="B108" t="s">
        <v>156</v>
      </c>
      <c r="C108" t="s">
        <v>2194</v>
      </c>
      <c r="D108" t="s">
        <v>2195</v>
      </c>
      <c r="E108" t="s">
        <v>2196</v>
      </c>
      <c r="F108" t="s">
        <v>1874</v>
      </c>
      <c r="G108" s="54">
        <v>46199</v>
      </c>
      <c r="H108" t="s">
        <v>1860</v>
      </c>
      <c r="I108" t="s">
        <v>1861</v>
      </c>
      <c r="J108" t="s">
        <v>1922</v>
      </c>
      <c r="K108" t="s">
        <v>2197</v>
      </c>
    </row>
    <row r="109" spans="1:11" x14ac:dyDescent="0.3">
      <c r="A109" t="s">
        <v>884</v>
      </c>
      <c r="B109" t="s">
        <v>156</v>
      </c>
      <c r="C109" t="s">
        <v>2198</v>
      </c>
      <c r="D109" t="s">
        <v>2195</v>
      </c>
      <c r="E109" t="s">
        <v>2199</v>
      </c>
      <c r="F109" t="s">
        <v>1874</v>
      </c>
      <c r="G109" s="54">
        <v>46199</v>
      </c>
      <c r="H109" t="s">
        <v>1860</v>
      </c>
      <c r="I109" t="s">
        <v>1861</v>
      </c>
      <c r="J109" t="s">
        <v>1922</v>
      </c>
      <c r="K109" t="s">
        <v>2197</v>
      </c>
    </row>
    <row r="110" spans="1:11" x14ac:dyDescent="0.3">
      <c r="A110" t="s">
        <v>884</v>
      </c>
      <c r="B110" t="s">
        <v>175</v>
      </c>
      <c r="C110" t="s">
        <v>2200</v>
      </c>
      <c r="D110" t="s">
        <v>2201</v>
      </c>
      <c r="E110" t="s">
        <v>2202</v>
      </c>
      <c r="F110" t="s">
        <v>1859</v>
      </c>
      <c r="G110" s="54">
        <v>46200</v>
      </c>
      <c r="H110" t="s">
        <v>2079</v>
      </c>
      <c r="I110" t="s">
        <v>1845</v>
      </c>
      <c r="J110" t="s">
        <v>2080</v>
      </c>
      <c r="K110" t="s">
        <v>2203</v>
      </c>
    </row>
    <row r="111" spans="1:11" x14ac:dyDescent="0.3">
      <c r="A111" t="s">
        <v>884</v>
      </c>
      <c r="B111" t="s">
        <v>175</v>
      </c>
      <c r="C111" t="s">
        <v>2204</v>
      </c>
      <c r="D111" t="s">
        <v>2201</v>
      </c>
      <c r="E111" t="s">
        <v>2205</v>
      </c>
      <c r="F111" t="s">
        <v>1859</v>
      </c>
      <c r="G111" s="54">
        <v>46200</v>
      </c>
      <c r="H111" t="s">
        <v>2079</v>
      </c>
      <c r="I111" t="s">
        <v>1845</v>
      </c>
      <c r="J111" t="s">
        <v>2080</v>
      </c>
      <c r="K111" t="s">
        <v>2203</v>
      </c>
    </row>
    <row r="112" spans="1:11" x14ac:dyDescent="0.3">
      <c r="A112" t="s">
        <v>884</v>
      </c>
      <c r="B112" t="s">
        <v>175</v>
      </c>
      <c r="C112" t="s">
        <v>2206</v>
      </c>
      <c r="D112" t="s">
        <v>2201</v>
      </c>
      <c r="E112" t="s">
        <v>2207</v>
      </c>
      <c r="F112" t="s">
        <v>1859</v>
      </c>
      <c r="G112" s="54">
        <v>46200</v>
      </c>
      <c r="H112" t="s">
        <v>2079</v>
      </c>
      <c r="I112" t="s">
        <v>1845</v>
      </c>
      <c r="J112" t="s">
        <v>2080</v>
      </c>
      <c r="K112" t="s">
        <v>2203</v>
      </c>
    </row>
    <row r="113" spans="1:11" x14ac:dyDescent="0.3">
      <c r="A113" t="s">
        <v>884</v>
      </c>
      <c r="B113" t="s">
        <v>175</v>
      </c>
      <c r="C113" t="s">
        <v>2208</v>
      </c>
      <c r="D113" t="s">
        <v>2201</v>
      </c>
      <c r="E113" t="s">
        <v>2209</v>
      </c>
      <c r="F113" t="s">
        <v>1859</v>
      </c>
      <c r="G113" s="54">
        <v>46200</v>
      </c>
      <c r="H113" t="s">
        <v>2079</v>
      </c>
      <c r="I113" t="s">
        <v>1845</v>
      </c>
      <c r="J113" t="s">
        <v>2080</v>
      </c>
      <c r="K113" t="s">
        <v>2203</v>
      </c>
    </row>
    <row r="114" spans="1:11" x14ac:dyDescent="0.3">
      <c r="A114" t="s">
        <v>884</v>
      </c>
      <c r="B114" t="s">
        <v>175</v>
      </c>
      <c r="C114" t="s">
        <v>2210</v>
      </c>
      <c r="D114" t="s">
        <v>2201</v>
      </c>
      <c r="E114" t="s">
        <v>2211</v>
      </c>
      <c r="F114" t="s">
        <v>1859</v>
      </c>
      <c r="G114" s="54">
        <v>46200</v>
      </c>
      <c r="H114" t="s">
        <v>2079</v>
      </c>
      <c r="I114" t="s">
        <v>1845</v>
      </c>
      <c r="J114" t="s">
        <v>2080</v>
      </c>
      <c r="K114" t="s">
        <v>2203</v>
      </c>
    </row>
    <row r="115" spans="1:11" x14ac:dyDescent="0.3">
      <c r="A115" t="s">
        <v>884</v>
      </c>
      <c r="B115" t="s">
        <v>175</v>
      </c>
      <c r="C115" t="s">
        <v>2212</v>
      </c>
      <c r="D115" t="s">
        <v>2201</v>
      </c>
      <c r="E115" t="s">
        <v>2213</v>
      </c>
      <c r="F115" t="s">
        <v>1859</v>
      </c>
      <c r="G115" s="54">
        <v>46200</v>
      </c>
      <c r="H115" t="s">
        <v>2079</v>
      </c>
      <c r="I115" t="s">
        <v>1845</v>
      </c>
      <c r="J115" t="s">
        <v>2080</v>
      </c>
      <c r="K115" t="s">
        <v>2203</v>
      </c>
    </row>
    <row r="116" spans="1:11" x14ac:dyDescent="0.3">
      <c r="A116" t="s">
        <v>884</v>
      </c>
      <c r="B116" t="s">
        <v>156</v>
      </c>
      <c r="C116" t="s">
        <v>2214</v>
      </c>
      <c r="D116" t="s">
        <v>2215</v>
      </c>
      <c r="E116" t="s">
        <v>2216</v>
      </c>
      <c r="F116" t="s">
        <v>1859</v>
      </c>
      <c r="G116" s="54">
        <v>46200</v>
      </c>
      <c r="H116" t="s">
        <v>2079</v>
      </c>
      <c r="I116" t="s">
        <v>1845</v>
      </c>
      <c r="J116" t="s">
        <v>2080</v>
      </c>
      <c r="K116" t="s">
        <v>2217</v>
      </c>
    </row>
    <row r="117" spans="1:11" x14ac:dyDescent="0.3">
      <c r="A117" t="s">
        <v>884</v>
      </c>
      <c r="B117" t="s">
        <v>156</v>
      </c>
      <c r="C117" t="s">
        <v>2218</v>
      </c>
      <c r="D117" t="s">
        <v>2219</v>
      </c>
      <c r="E117" t="s">
        <v>2220</v>
      </c>
      <c r="F117" t="s">
        <v>1859</v>
      </c>
      <c r="G117" s="54">
        <v>46200</v>
      </c>
      <c r="H117" t="s">
        <v>2079</v>
      </c>
      <c r="I117" t="s">
        <v>1845</v>
      </c>
      <c r="J117" t="s">
        <v>2080</v>
      </c>
      <c r="K117" t="s">
        <v>2221</v>
      </c>
    </row>
    <row r="118" spans="1:11" x14ac:dyDescent="0.3">
      <c r="A118" t="s">
        <v>884</v>
      </c>
      <c r="B118" t="s">
        <v>2056</v>
      </c>
      <c r="C118" t="s">
        <v>2222</v>
      </c>
      <c r="D118" t="s">
        <v>2223</v>
      </c>
      <c r="E118" t="s">
        <v>2224</v>
      </c>
      <c r="F118" t="s">
        <v>1859</v>
      </c>
      <c r="G118" s="54">
        <v>46200</v>
      </c>
      <c r="H118" t="s">
        <v>2079</v>
      </c>
      <c r="I118" t="s">
        <v>1845</v>
      </c>
      <c r="J118" t="s">
        <v>2080</v>
      </c>
      <c r="K118" t="s">
        <v>2225</v>
      </c>
    </row>
    <row r="119" spans="1:11" x14ac:dyDescent="0.3">
      <c r="A119" t="s">
        <v>884</v>
      </c>
      <c r="B119" t="s">
        <v>156</v>
      </c>
      <c r="C119" t="s">
        <v>2226</v>
      </c>
      <c r="D119" t="s">
        <v>2227</v>
      </c>
      <c r="E119" t="s">
        <v>2220</v>
      </c>
      <c r="F119" t="s">
        <v>1859</v>
      </c>
      <c r="G119" s="54">
        <v>46200</v>
      </c>
      <c r="H119" t="s">
        <v>2079</v>
      </c>
      <c r="I119" t="s">
        <v>1845</v>
      </c>
      <c r="J119" t="s">
        <v>2080</v>
      </c>
      <c r="K119" t="s">
        <v>2228</v>
      </c>
    </row>
    <row r="120" spans="1:11" x14ac:dyDescent="0.3">
      <c r="A120" t="s">
        <v>884</v>
      </c>
      <c r="B120" t="s">
        <v>175</v>
      </c>
      <c r="C120" t="s">
        <v>2229</v>
      </c>
      <c r="D120" t="s">
        <v>2230</v>
      </c>
      <c r="E120" t="s">
        <v>2231</v>
      </c>
      <c r="F120" t="s">
        <v>1859</v>
      </c>
      <c r="G120" s="54">
        <v>46200</v>
      </c>
      <c r="H120" t="s">
        <v>2079</v>
      </c>
      <c r="I120" t="s">
        <v>1845</v>
      </c>
      <c r="J120" t="s">
        <v>2080</v>
      </c>
      <c r="K120" t="s">
        <v>2232</v>
      </c>
    </row>
    <row r="121" spans="1:11" x14ac:dyDescent="0.3">
      <c r="A121" t="s">
        <v>884</v>
      </c>
      <c r="B121" t="s">
        <v>175</v>
      </c>
      <c r="C121" t="s">
        <v>2233</v>
      </c>
      <c r="D121" t="s">
        <v>2234</v>
      </c>
      <c r="E121" t="s">
        <v>2235</v>
      </c>
      <c r="F121" t="s">
        <v>1859</v>
      </c>
      <c r="G121" s="54">
        <v>46200</v>
      </c>
      <c r="H121" t="s">
        <v>2079</v>
      </c>
      <c r="I121" t="s">
        <v>1845</v>
      </c>
      <c r="J121" t="s">
        <v>2080</v>
      </c>
      <c r="K121" t="s">
        <v>2236</v>
      </c>
    </row>
    <row r="122" spans="1:11" x14ac:dyDescent="0.3">
      <c r="A122" t="s">
        <v>884</v>
      </c>
      <c r="B122" t="s">
        <v>175</v>
      </c>
      <c r="C122" t="s">
        <v>2237</v>
      </c>
      <c r="D122" t="s">
        <v>2238</v>
      </c>
      <c r="E122" t="s">
        <v>2239</v>
      </c>
      <c r="F122" t="s">
        <v>1859</v>
      </c>
      <c r="G122" s="54">
        <v>46202</v>
      </c>
      <c r="H122" t="s">
        <v>1860</v>
      </c>
      <c r="I122" t="s">
        <v>1861</v>
      </c>
      <c r="J122" t="s">
        <v>1862</v>
      </c>
      <c r="K122" t="s">
        <v>2240</v>
      </c>
    </row>
    <row r="123" spans="1:11" x14ac:dyDescent="0.3">
      <c r="A123" t="s">
        <v>884</v>
      </c>
      <c r="B123" t="s">
        <v>175</v>
      </c>
      <c r="C123" t="s">
        <v>2241</v>
      </c>
      <c r="D123" t="s">
        <v>2242</v>
      </c>
      <c r="E123" t="s">
        <v>2243</v>
      </c>
      <c r="F123" t="s">
        <v>1859</v>
      </c>
      <c r="G123" s="54">
        <v>46207</v>
      </c>
      <c r="H123" t="s">
        <v>1860</v>
      </c>
      <c r="I123" t="s">
        <v>1861</v>
      </c>
      <c r="J123" t="s">
        <v>1862</v>
      </c>
      <c r="K123" t="s">
        <v>2244</v>
      </c>
    </row>
    <row r="124" spans="1:11" x14ac:dyDescent="0.3">
      <c r="A124" t="s">
        <v>884</v>
      </c>
      <c r="B124" t="s">
        <v>175</v>
      </c>
      <c r="C124" t="s">
        <v>2245</v>
      </c>
      <c r="D124" t="s">
        <v>2242</v>
      </c>
      <c r="E124" t="s">
        <v>2246</v>
      </c>
      <c r="F124" t="s">
        <v>1859</v>
      </c>
      <c r="G124" s="54">
        <v>46207</v>
      </c>
      <c r="H124" t="s">
        <v>1860</v>
      </c>
      <c r="I124" t="s">
        <v>1861</v>
      </c>
      <c r="J124" t="s">
        <v>1862</v>
      </c>
      <c r="K124" t="s">
        <v>2244</v>
      </c>
    </row>
    <row r="125" spans="1:11" x14ac:dyDescent="0.3">
      <c r="A125" t="s">
        <v>884</v>
      </c>
      <c r="B125" t="s">
        <v>175</v>
      </c>
      <c r="C125" t="s">
        <v>2247</v>
      </c>
      <c r="D125" t="s">
        <v>2242</v>
      </c>
      <c r="E125" t="s">
        <v>2248</v>
      </c>
      <c r="F125" t="s">
        <v>1859</v>
      </c>
      <c r="G125" s="54">
        <v>46207</v>
      </c>
      <c r="H125" t="s">
        <v>1860</v>
      </c>
      <c r="I125" t="s">
        <v>1861</v>
      </c>
      <c r="J125" t="s">
        <v>1862</v>
      </c>
      <c r="K125" t="s">
        <v>2244</v>
      </c>
    </row>
    <row r="126" spans="1:11" x14ac:dyDescent="0.3">
      <c r="A126" t="s">
        <v>884</v>
      </c>
      <c r="B126" t="s">
        <v>175</v>
      </c>
      <c r="C126" t="s">
        <v>2249</v>
      </c>
      <c r="D126" t="s">
        <v>2250</v>
      </c>
      <c r="E126" t="s">
        <v>2251</v>
      </c>
      <c r="F126" t="s">
        <v>1859</v>
      </c>
      <c r="G126" s="54">
        <v>46207</v>
      </c>
      <c r="H126" t="s">
        <v>1860</v>
      </c>
      <c r="I126" t="s">
        <v>1861</v>
      </c>
      <c r="J126" t="s">
        <v>1862</v>
      </c>
      <c r="K126" t="s">
        <v>2252</v>
      </c>
    </row>
    <row r="127" spans="1:11" x14ac:dyDescent="0.3">
      <c r="A127" t="s">
        <v>884</v>
      </c>
      <c r="B127" t="s">
        <v>175</v>
      </c>
      <c r="C127" t="s">
        <v>2253</v>
      </c>
      <c r="D127" t="s">
        <v>2250</v>
      </c>
      <c r="E127" t="s">
        <v>2254</v>
      </c>
      <c r="F127" t="s">
        <v>1859</v>
      </c>
      <c r="G127" s="54">
        <v>46207</v>
      </c>
      <c r="H127" t="s">
        <v>1860</v>
      </c>
      <c r="I127" t="s">
        <v>1861</v>
      </c>
      <c r="J127" t="s">
        <v>1862</v>
      </c>
      <c r="K127" t="s">
        <v>2252</v>
      </c>
    </row>
    <row r="128" spans="1:11" x14ac:dyDescent="0.3">
      <c r="A128" t="s">
        <v>884</v>
      </c>
      <c r="B128" t="s">
        <v>175</v>
      </c>
      <c r="C128" t="s">
        <v>2255</v>
      </c>
      <c r="D128" t="s">
        <v>2250</v>
      </c>
      <c r="E128" t="s">
        <v>2256</v>
      </c>
      <c r="F128" t="s">
        <v>1859</v>
      </c>
      <c r="G128" s="54">
        <v>46207</v>
      </c>
      <c r="H128" t="s">
        <v>1860</v>
      </c>
      <c r="I128" t="s">
        <v>1861</v>
      </c>
      <c r="J128" t="s">
        <v>1862</v>
      </c>
      <c r="K128" t="s">
        <v>2252</v>
      </c>
    </row>
    <row r="129" spans="1:11" x14ac:dyDescent="0.3">
      <c r="A129" t="s">
        <v>884</v>
      </c>
      <c r="B129" t="s">
        <v>175</v>
      </c>
      <c r="C129" t="s">
        <v>2257</v>
      </c>
      <c r="D129" t="s">
        <v>2258</v>
      </c>
      <c r="E129" t="s">
        <v>2259</v>
      </c>
      <c r="F129" t="s">
        <v>1859</v>
      </c>
      <c r="G129" s="54">
        <v>46207</v>
      </c>
      <c r="H129" t="s">
        <v>1860</v>
      </c>
      <c r="I129" t="s">
        <v>1861</v>
      </c>
      <c r="J129" t="s">
        <v>1862</v>
      </c>
      <c r="K129" t="s">
        <v>2260</v>
      </c>
    </row>
    <row r="130" spans="1:11" x14ac:dyDescent="0.3">
      <c r="A130" t="s">
        <v>884</v>
      </c>
      <c r="B130" t="s">
        <v>175</v>
      </c>
      <c r="C130" t="s">
        <v>2261</v>
      </c>
      <c r="D130" t="s">
        <v>2258</v>
      </c>
      <c r="E130" t="s">
        <v>2262</v>
      </c>
      <c r="F130" t="s">
        <v>1859</v>
      </c>
      <c r="G130" s="54">
        <v>46207</v>
      </c>
      <c r="H130" t="s">
        <v>1860</v>
      </c>
      <c r="I130" t="s">
        <v>1861</v>
      </c>
      <c r="J130" t="s">
        <v>1862</v>
      </c>
      <c r="K130" t="s">
        <v>2260</v>
      </c>
    </row>
    <row r="131" spans="1:11" x14ac:dyDescent="0.3">
      <c r="A131" t="s">
        <v>884</v>
      </c>
      <c r="B131" t="s">
        <v>175</v>
      </c>
      <c r="C131" t="s">
        <v>2263</v>
      </c>
      <c r="D131" t="s">
        <v>2258</v>
      </c>
      <c r="E131" t="s">
        <v>2264</v>
      </c>
      <c r="F131" t="s">
        <v>1859</v>
      </c>
      <c r="G131" s="54">
        <v>46207</v>
      </c>
      <c r="H131" t="s">
        <v>1860</v>
      </c>
      <c r="I131" t="s">
        <v>1861</v>
      </c>
      <c r="J131" t="s">
        <v>1862</v>
      </c>
      <c r="K131" t="s">
        <v>2260</v>
      </c>
    </row>
    <row r="132" spans="1:11" x14ac:dyDescent="0.3">
      <c r="A132" t="s">
        <v>884</v>
      </c>
      <c r="B132" t="s">
        <v>175</v>
      </c>
      <c r="C132" t="s">
        <v>2265</v>
      </c>
      <c r="D132" t="s">
        <v>2266</v>
      </c>
      <c r="E132" t="s">
        <v>2267</v>
      </c>
      <c r="F132" t="s">
        <v>1859</v>
      </c>
      <c r="G132" s="54">
        <v>46207</v>
      </c>
      <c r="H132" t="s">
        <v>1860</v>
      </c>
      <c r="I132" t="s">
        <v>1861</v>
      </c>
      <c r="J132" t="s">
        <v>1862</v>
      </c>
      <c r="K132" t="s">
        <v>2268</v>
      </c>
    </row>
    <row r="133" spans="1:11" x14ac:dyDescent="0.3">
      <c r="A133" t="s">
        <v>884</v>
      </c>
      <c r="B133" t="s">
        <v>175</v>
      </c>
      <c r="C133" t="s">
        <v>2269</v>
      </c>
      <c r="D133" t="s">
        <v>2266</v>
      </c>
      <c r="E133" t="s">
        <v>2270</v>
      </c>
      <c r="F133" t="s">
        <v>1859</v>
      </c>
      <c r="G133" s="54">
        <v>46207</v>
      </c>
      <c r="H133" t="s">
        <v>1860</v>
      </c>
      <c r="I133" t="s">
        <v>1861</v>
      </c>
      <c r="J133" t="s">
        <v>1862</v>
      </c>
      <c r="K133" t="s">
        <v>2268</v>
      </c>
    </row>
    <row r="134" spans="1:11" x14ac:dyDescent="0.3">
      <c r="A134" t="s">
        <v>884</v>
      </c>
      <c r="B134" t="s">
        <v>175</v>
      </c>
      <c r="C134" t="s">
        <v>2271</v>
      </c>
      <c r="D134" t="s">
        <v>2266</v>
      </c>
      <c r="E134" t="s">
        <v>2272</v>
      </c>
      <c r="F134" t="s">
        <v>1859</v>
      </c>
      <c r="G134" s="54">
        <v>46207</v>
      </c>
      <c r="H134" t="s">
        <v>1860</v>
      </c>
      <c r="I134" t="s">
        <v>1861</v>
      </c>
      <c r="J134" t="s">
        <v>1862</v>
      </c>
      <c r="K134" t="s">
        <v>2268</v>
      </c>
    </row>
    <row r="135" spans="1:11" x14ac:dyDescent="0.3">
      <c r="A135" t="s">
        <v>884</v>
      </c>
      <c r="B135" t="s">
        <v>175</v>
      </c>
      <c r="C135" t="s">
        <v>2273</v>
      </c>
      <c r="D135" t="s">
        <v>2274</v>
      </c>
      <c r="E135" t="s">
        <v>2275</v>
      </c>
      <c r="F135" t="s">
        <v>1859</v>
      </c>
      <c r="G135" s="54">
        <v>46207</v>
      </c>
      <c r="H135" t="s">
        <v>1927</v>
      </c>
      <c r="I135" t="s">
        <v>1928</v>
      </c>
      <c r="J135" t="s">
        <v>1929</v>
      </c>
      <c r="K135" t="s">
        <v>2276</v>
      </c>
    </row>
    <row r="136" spans="1:11" x14ac:dyDescent="0.3">
      <c r="A136" t="s">
        <v>884</v>
      </c>
      <c r="B136" t="s">
        <v>175</v>
      </c>
      <c r="C136" t="s">
        <v>2277</v>
      </c>
      <c r="D136" t="s">
        <v>2274</v>
      </c>
      <c r="E136" t="s">
        <v>2278</v>
      </c>
      <c r="F136" t="s">
        <v>1859</v>
      </c>
      <c r="G136" s="54">
        <v>46207</v>
      </c>
      <c r="H136" t="s">
        <v>1927</v>
      </c>
      <c r="I136" t="s">
        <v>1928</v>
      </c>
      <c r="J136" t="s">
        <v>1929</v>
      </c>
      <c r="K136" t="s">
        <v>2276</v>
      </c>
    </row>
    <row r="137" spans="1:11" x14ac:dyDescent="0.3">
      <c r="A137" t="s">
        <v>884</v>
      </c>
      <c r="B137" t="s">
        <v>175</v>
      </c>
      <c r="C137" t="s">
        <v>2279</v>
      </c>
      <c r="D137" t="s">
        <v>2274</v>
      </c>
      <c r="E137" t="s">
        <v>2280</v>
      </c>
      <c r="F137" t="s">
        <v>1859</v>
      </c>
      <c r="G137" s="54">
        <v>46207</v>
      </c>
      <c r="H137" t="s">
        <v>1927</v>
      </c>
      <c r="I137" t="s">
        <v>1928</v>
      </c>
      <c r="J137" t="s">
        <v>1929</v>
      </c>
      <c r="K137" t="s">
        <v>2276</v>
      </c>
    </row>
    <row r="138" spans="1:11" x14ac:dyDescent="0.3">
      <c r="A138" t="s">
        <v>884</v>
      </c>
      <c r="B138" t="s">
        <v>156</v>
      </c>
      <c r="C138" t="s">
        <v>2281</v>
      </c>
      <c r="D138" t="s">
        <v>2282</v>
      </c>
      <c r="E138" t="s">
        <v>2283</v>
      </c>
      <c r="F138" t="s">
        <v>1859</v>
      </c>
      <c r="G138" s="54">
        <v>46207</v>
      </c>
      <c r="H138" t="s">
        <v>1860</v>
      </c>
      <c r="I138" t="s">
        <v>1861</v>
      </c>
      <c r="J138" t="s">
        <v>1862</v>
      </c>
      <c r="K138" t="s">
        <v>2284</v>
      </c>
    </row>
    <row r="139" spans="1:11" x14ac:dyDescent="0.3">
      <c r="A139" t="s">
        <v>884</v>
      </c>
      <c r="B139" t="s">
        <v>156</v>
      </c>
      <c r="C139" t="s">
        <v>2285</v>
      </c>
      <c r="D139" t="s">
        <v>2282</v>
      </c>
      <c r="E139" t="s">
        <v>2286</v>
      </c>
      <c r="F139" t="s">
        <v>1859</v>
      </c>
      <c r="G139" s="54">
        <v>46207</v>
      </c>
      <c r="H139" t="s">
        <v>1860</v>
      </c>
      <c r="I139" t="s">
        <v>1861</v>
      </c>
      <c r="J139" t="s">
        <v>1862</v>
      </c>
      <c r="K139" t="s">
        <v>2284</v>
      </c>
    </row>
    <row r="140" spans="1:11" x14ac:dyDescent="0.3">
      <c r="A140" t="s">
        <v>884</v>
      </c>
      <c r="B140" t="s">
        <v>175</v>
      </c>
      <c r="C140" t="s">
        <v>2287</v>
      </c>
      <c r="D140" t="s">
        <v>2288</v>
      </c>
      <c r="E140" t="s">
        <v>2289</v>
      </c>
      <c r="F140" t="s">
        <v>1859</v>
      </c>
      <c r="G140" s="54">
        <v>46207</v>
      </c>
      <c r="H140" t="s">
        <v>1860</v>
      </c>
      <c r="I140" t="s">
        <v>1861</v>
      </c>
      <c r="J140" t="s">
        <v>1862</v>
      </c>
      <c r="K140" t="s">
        <v>2290</v>
      </c>
    </row>
    <row r="141" spans="1:11" x14ac:dyDescent="0.3">
      <c r="A141" t="s">
        <v>884</v>
      </c>
      <c r="B141" t="s">
        <v>175</v>
      </c>
      <c r="C141" t="s">
        <v>2291</v>
      </c>
      <c r="D141" t="s">
        <v>2288</v>
      </c>
      <c r="E141" t="s">
        <v>2292</v>
      </c>
      <c r="F141" t="s">
        <v>1859</v>
      </c>
      <c r="G141" s="54">
        <v>46207</v>
      </c>
      <c r="H141" t="s">
        <v>1860</v>
      </c>
      <c r="I141" t="s">
        <v>1861</v>
      </c>
      <c r="J141" t="s">
        <v>1862</v>
      </c>
      <c r="K141" t="s">
        <v>2290</v>
      </c>
    </row>
    <row r="142" spans="1:11" x14ac:dyDescent="0.3">
      <c r="A142" t="s">
        <v>884</v>
      </c>
      <c r="B142" t="s">
        <v>175</v>
      </c>
      <c r="C142" t="s">
        <v>2293</v>
      </c>
      <c r="D142" t="s">
        <v>2288</v>
      </c>
      <c r="E142" t="s">
        <v>2294</v>
      </c>
      <c r="F142" t="s">
        <v>1859</v>
      </c>
      <c r="G142" s="54">
        <v>46207</v>
      </c>
      <c r="H142" t="s">
        <v>1860</v>
      </c>
      <c r="I142" t="s">
        <v>1861</v>
      </c>
      <c r="J142" t="s">
        <v>1862</v>
      </c>
      <c r="K142" t="s">
        <v>2290</v>
      </c>
    </row>
    <row r="143" spans="1:11" x14ac:dyDescent="0.3">
      <c r="A143" t="s">
        <v>884</v>
      </c>
      <c r="B143" t="s">
        <v>156</v>
      </c>
      <c r="C143" t="s">
        <v>2295</v>
      </c>
      <c r="D143" t="s">
        <v>2296</v>
      </c>
      <c r="E143" t="s">
        <v>2297</v>
      </c>
      <c r="F143" t="s">
        <v>1874</v>
      </c>
      <c r="G143" s="54">
        <v>46212</v>
      </c>
      <c r="H143" t="s">
        <v>1868</v>
      </c>
      <c r="I143" t="s">
        <v>1845</v>
      </c>
      <c r="J143" t="s">
        <v>1869</v>
      </c>
      <c r="K143" t="s">
        <v>2298</v>
      </c>
    </row>
    <row r="144" spans="1:11" x14ac:dyDescent="0.3">
      <c r="A144" t="s">
        <v>884</v>
      </c>
      <c r="B144" t="s">
        <v>156</v>
      </c>
      <c r="C144" t="s">
        <v>2299</v>
      </c>
      <c r="D144" t="s">
        <v>2296</v>
      </c>
      <c r="E144" t="s">
        <v>2300</v>
      </c>
      <c r="F144" t="s">
        <v>1874</v>
      </c>
      <c r="G144" s="54">
        <v>46212</v>
      </c>
      <c r="H144" t="s">
        <v>1868</v>
      </c>
      <c r="I144" t="s">
        <v>1845</v>
      </c>
      <c r="J144" t="s">
        <v>1869</v>
      </c>
      <c r="K144" t="s">
        <v>2298</v>
      </c>
    </row>
    <row r="145" spans="1:11" x14ac:dyDescent="0.3">
      <c r="A145" t="s">
        <v>884</v>
      </c>
      <c r="B145" t="s">
        <v>156</v>
      </c>
      <c r="C145" t="s">
        <v>2301</v>
      </c>
      <c r="D145" t="s">
        <v>2296</v>
      </c>
      <c r="E145" t="s">
        <v>2302</v>
      </c>
      <c r="F145" t="s">
        <v>1874</v>
      </c>
      <c r="G145" s="54">
        <v>46212</v>
      </c>
      <c r="H145" t="s">
        <v>1868</v>
      </c>
      <c r="I145" t="s">
        <v>1845</v>
      </c>
      <c r="J145" t="s">
        <v>1869</v>
      </c>
      <c r="K145" t="s">
        <v>2298</v>
      </c>
    </row>
    <row r="146" spans="1:11" x14ac:dyDescent="0.3">
      <c r="A146" t="s">
        <v>884</v>
      </c>
      <c r="B146" t="s">
        <v>156</v>
      </c>
      <c r="C146" t="s">
        <v>2303</v>
      </c>
      <c r="D146" t="s">
        <v>2296</v>
      </c>
      <c r="E146" t="s">
        <v>2304</v>
      </c>
      <c r="F146" t="s">
        <v>1874</v>
      </c>
      <c r="G146" s="54">
        <v>46212</v>
      </c>
      <c r="H146" t="s">
        <v>1868</v>
      </c>
      <c r="I146" t="s">
        <v>1845</v>
      </c>
      <c r="J146" t="s">
        <v>1869</v>
      </c>
      <c r="K146" t="s">
        <v>2298</v>
      </c>
    </row>
    <row r="147" spans="1:11" x14ac:dyDescent="0.3">
      <c r="A147" t="s">
        <v>884</v>
      </c>
      <c r="B147" t="s">
        <v>175</v>
      </c>
      <c r="C147" t="s">
        <v>2305</v>
      </c>
      <c r="D147" t="s">
        <v>2306</v>
      </c>
      <c r="E147" t="s">
        <v>2307</v>
      </c>
      <c r="F147" t="s">
        <v>1859</v>
      </c>
      <c r="G147" s="54">
        <v>46223</v>
      </c>
      <c r="H147" t="s">
        <v>1860</v>
      </c>
      <c r="I147" t="s">
        <v>1861</v>
      </c>
      <c r="J147" t="s">
        <v>1862</v>
      </c>
      <c r="K147" t="s">
        <v>2308</v>
      </c>
    </row>
    <row r="148" spans="1:11" x14ac:dyDescent="0.3">
      <c r="A148" t="s">
        <v>884</v>
      </c>
      <c r="B148" t="s">
        <v>175</v>
      </c>
      <c r="C148" t="s">
        <v>2309</v>
      </c>
      <c r="D148" t="s">
        <v>2306</v>
      </c>
      <c r="E148" t="s">
        <v>2310</v>
      </c>
      <c r="F148" t="s">
        <v>1859</v>
      </c>
      <c r="G148" s="54">
        <v>46223</v>
      </c>
      <c r="H148" t="s">
        <v>1860</v>
      </c>
      <c r="I148" t="s">
        <v>1861</v>
      </c>
      <c r="J148" t="s">
        <v>1862</v>
      </c>
      <c r="K148" t="s">
        <v>2308</v>
      </c>
    </row>
    <row r="149" spans="1:11" x14ac:dyDescent="0.3">
      <c r="A149" t="s">
        <v>884</v>
      </c>
      <c r="B149" t="s">
        <v>156</v>
      </c>
      <c r="C149" t="s">
        <v>2311</v>
      </c>
      <c r="D149" t="s">
        <v>2312</v>
      </c>
      <c r="E149" t="s">
        <v>2313</v>
      </c>
      <c r="F149" t="s">
        <v>1874</v>
      </c>
      <c r="G149" s="54">
        <v>46234</v>
      </c>
      <c r="H149" t="s">
        <v>1868</v>
      </c>
      <c r="I149" t="s">
        <v>1845</v>
      </c>
      <c r="J149" t="s">
        <v>1869</v>
      </c>
      <c r="K149" t="s">
        <v>2314</v>
      </c>
    </row>
    <row r="150" spans="1:11" x14ac:dyDescent="0.3">
      <c r="A150" t="s">
        <v>884</v>
      </c>
      <c r="B150" t="s">
        <v>450</v>
      </c>
      <c r="C150" t="s">
        <v>2315</v>
      </c>
      <c r="D150" t="s">
        <v>2316</v>
      </c>
      <c r="E150" t="s">
        <v>2317</v>
      </c>
      <c r="F150" t="s">
        <v>1874</v>
      </c>
      <c r="G150" s="54">
        <v>46236</v>
      </c>
      <c r="H150" t="s">
        <v>1868</v>
      </c>
      <c r="I150" t="s">
        <v>1845</v>
      </c>
      <c r="J150" t="s">
        <v>1869</v>
      </c>
      <c r="K150" t="s">
        <v>2318</v>
      </c>
    </row>
    <row r="151" spans="1:11" x14ac:dyDescent="0.3">
      <c r="A151" t="s">
        <v>884</v>
      </c>
      <c r="B151" t="s">
        <v>156</v>
      </c>
      <c r="C151" t="s">
        <v>2319</v>
      </c>
      <c r="D151" t="s">
        <v>2320</v>
      </c>
      <c r="E151" t="s">
        <v>2321</v>
      </c>
      <c r="F151" t="s">
        <v>1874</v>
      </c>
      <c r="G151" s="54">
        <v>46237</v>
      </c>
      <c r="H151" t="s">
        <v>1868</v>
      </c>
      <c r="I151" t="s">
        <v>1845</v>
      </c>
      <c r="J151" t="s">
        <v>1869</v>
      </c>
      <c r="K151" t="s">
        <v>2322</v>
      </c>
    </row>
    <row r="152" spans="1:11" x14ac:dyDescent="0.3">
      <c r="A152" t="s">
        <v>884</v>
      </c>
      <c r="B152" t="s">
        <v>156</v>
      </c>
      <c r="C152" t="s">
        <v>2323</v>
      </c>
      <c r="D152" t="s">
        <v>2324</v>
      </c>
      <c r="E152" t="s">
        <v>2325</v>
      </c>
      <c r="F152" t="s">
        <v>1859</v>
      </c>
      <c r="G152" s="54">
        <v>46247</v>
      </c>
      <c r="H152" t="s">
        <v>1860</v>
      </c>
      <c r="I152" t="s">
        <v>1861</v>
      </c>
      <c r="J152" t="s">
        <v>1862</v>
      </c>
      <c r="K152" t="s">
        <v>2326</v>
      </c>
    </row>
    <row r="153" spans="1:11" x14ac:dyDescent="0.3">
      <c r="A153" t="s">
        <v>884</v>
      </c>
      <c r="B153" t="s">
        <v>156</v>
      </c>
      <c r="C153" t="s">
        <v>2327</v>
      </c>
      <c r="D153" t="s">
        <v>2328</v>
      </c>
      <c r="E153" t="s">
        <v>2329</v>
      </c>
      <c r="F153" t="s">
        <v>1859</v>
      </c>
      <c r="G153" s="54">
        <v>46253</v>
      </c>
      <c r="H153" t="s">
        <v>1860</v>
      </c>
      <c r="I153" t="s">
        <v>1861</v>
      </c>
      <c r="J153" t="s">
        <v>1862</v>
      </c>
      <c r="K153" t="s">
        <v>2330</v>
      </c>
    </row>
    <row r="154" spans="1:11" x14ac:dyDescent="0.3">
      <c r="A154" t="s">
        <v>884</v>
      </c>
      <c r="B154" t="s">
        <v>156</v>
      </c>
      <c r="C154" t="s">
        <v>2331</v>
      </c>
      <c r="D154" t="s">
        <v>2328</v>
      </c>
      <c r="E154" t="s">
        <v>2332</v>
      </c>
      <c r="F154" t="s">
        <v>1859</v>
      </c>
      <c r="G154" s="54">
        <v>46253</v>
      </c>
      <c r="H154" t="s">
        <v>1860</v>
      </c>
      <c r="I154" t="s">
        <v>1861</v>
      </c>
      <c r="J154" t="s">
        <v>1862</v>
      </c>
      <c r="K154" t="s">
        <v>2330</v>
      </c>
    </row>
    <row r="155" spans="1:11" x14ac:dyDescent="0.3">
      <c r="A155" t="s">
        <v>884</v>
      </c>
      <c r="B155" t="s">
        <v>175</v>
      </c>
      <c r="C155" t="s">
        <v>2333</v>
      </c>
      <c r="D155" t="s">
        <v>2334</v>
      </c>
      <c r="E155" t="s">
        <v>2335</v>
      </c>
      <c r="F155" t="s">
        <v>1859</v>
      </c>
      <c r="G155" s="54">
        <v>46254</v>
      </c>
      <c r="H155" t="s">
        <v>1860</v>
      </c>
      <c r="I155" t="s">
        <v>1861</v>
      </c>
      <c r="J155" t="s">
        <v>1862</v>
      </c>
      <c r="K155" t="s">
        <v>2336</v>
      </c>
    </row>
    <row r="156" spans="1:11" x14ac:dyDescent="0.3">
      <c r="A156" t="s">
        <v>884</v>
      </c>
      <c r="B156" t="s">
        <v>175</v>
      </c>
      <c r="C156" t="s">
        <v>2337</v>
      </c>
      <c r="D156" t="s">
        <v>2338</v>
      </c>
      <c r="E156" t="s">
        <v>2339</v>
      </c>
      <c r="F156" t="s">
        <v>1859</v>
      </c>
      <c r="G156" s="54">
        <v>46254</v>
      </c>
      <c r="H156" t="s">
        <v>1860</v>
      </c>
      <c r="I156" t="s">
        <v>1861</v>
      </c>
      <c r="J156" t="s">
        <v>1862</v>
      </c>
      <c r="K156" t="s">
        <v>2340</v>
      </c>
    </row>
    <row r="157" spans="1:11" x14ac:dyDescent="0.3">
      <c r="A157" t="s">
        <v>884</v>
      </c>
      <c r="B157" t="s">
        <v>175</v>
      </c>
      <c r="C157" t="s">
        <v>2341</v>
      </c>
      <c r="D157" t="s">
        <v>2342</v>
      </c>
      <c r="E157" t="s">
        <v>2343</v>
      </c>
      <c r="F157" t="s">
        <v>1859</v>
      </c>
      <c r="G157" s="54">
        <v>46254</v>
      </c>
      <c r="H157" t="s">
        <v>1860</v>
      </c>
      <c r="I157" t="s">
        <v>1861</v>
      </c>
      <c r="J157" t="s">
        <v>1862</v>
      </c>
      <c r="K157" t="s">
        <v>2344</v>
      </c>
    </row>
    <row r="158" spans="1:11" x14ac:dyDescent="0.3">
      <c r="A158" t="s">
        <v>884</v>
      </c>
      <c r="B158" t="s">
        <v>175</v>
      </c>
      <c r="C158" t="s">
        <v>2345</v>
      </c>
      <c r="D158" t="s">
        <v>2346</v>
      </c>
      <c r="E158" t="s">
        <v>2347</v>
      </c>
      <c r="F158" t="s">
        <v>1859</v>
      </c>
      <c r="G158" s="54">
        <v>46254</v>
      </c>
      <c r="H158" t="s">
        <v>1860</v>
      </c>
      <c r="I158" t="s">
        <v>1861</v>
      </c>
      <c r="J158" t="s">
        <v>1862</v>
      </c>
      <c r="K158" t="s">
        <v>2348</v>
      </c>
    </row>
    <row r="159" spans="1:11" x14ac:dyDescent="0.3">
      <c r="A159" t="s">
        <v>884</v>
      </c>
      <c r="B159" t="s">
        <v>175</v>
      </c>
      <c r="C159" t="s">
        <v>2349</v>
      </c>
      <c r="D159" t="s">
        <v>2350</v>
      </c>
      <c r="E159" t="s">
        <v>2351</v>
      </c>
      <c r="F159" t="s">
        <v>1859</v>
      </c>
      <c r="G159" s="54">
        <v>46254</v>
      </c>
      <c r="H159" t="s">
        <v>1860</v>
      </c>
      <c r="I159" t="s">
        <v>1861</v>
      </c>
      <c r="J159" t="s">
        <v>1862</v>
      </c>
      <c r="K159" t="s">
        <v>2352</v>
      </c>
    </row>
    <row r="160" spans="1:11" x14ac:dyDescent="0.3">
      <c r="A160" t="s">
        <v>884</v>
      </c>
      <c r="B160" t="s">
        <v>175</v>
      </c>
      <c r="C160" t="s">
        <v>2353</v>
      </c>
      <c r="D160" t="s">
        <v>2354</v>
      </c>
      <c r="E160" t="s">
        <v>2355</v>
      </c>
      <c r="F160" t="s">
        <v>1859</v>
      </c>
      <c r="G160" s="54">
        <v>46254</v>
      </c>
      <c r="H160" t="s">
        <v>1860</v>
      </c>
      <c r="I160" t="s">
        <v>1861</v>
      </c>
      <c r="J160" t="s">
        <v>1862</v>
      </c>
      <c r="K160" t="s">
        <v>2356</v>
      </c>
    </row>
    <row r="161" spans="1:11" x14ac:dyDescent="0.3">
      <c r="A161" t="s">
        <v>884</v>
      </c>
      <c r="B161" t="s">
        <v>175</v>
      </c>
      <c r="C161" t="s">
        <v>2357</v>
      </c>
      <c r="D161" t="s">
        <v>2358</v>
      </c>
      <c r="E161" t="s">
        <v>2359</v>
      </c>
      <c r="F161" t="s">
        <v>1859</v>
      </c>
      <c r="G161" s="54">
        <v>46254</v>
      </c>
      <c r="H161" t="s">
        <v>1860</v>
      </c>
      <c r="I161" t="s">
        <v>1861</v>
      </c>
      <c r="J161" t="s">
        <v>1862</v>
      </c>
      <c r="K161" t="s">
        <v>2360</v>
      </c>
    </row>
    <row r="162" spans="1:11" x14ac:dyDescent="0.3">
      <c r="A162" t="s">
        <v>884</v>
      </c>
      <c r="B162" t="s">
        <v>175</v>
      </c>
      <c r="C162" t="s">
        <v>2361</v>
      </c>
      <c r="D162" t="s">
        <v>2362</v>
      </c>
      <c r="E162" t="s">
        <v>2363</v>
      </c>
      <c r="F162" t="s">
        <v>1859</v>
      </c>
      <c r="G162" s="54">
        <v>46254</v>
      </c>
      <c r="H162" t="s">
        <v>1860</v>
      </c>
      <c r="I162" t="s">
        <v>1861</v>
      </c>
      <c r="J162" t="s">
        <v>1862</v>
      </c>
      <c r="K162" t="s">
        <v>2364</v>
      </c>
    </row>
    <row r="163" spans="1:11" x14ac:dyDescent="0.3">
      <c r="A163" t="s">
        <v>884</v>
      </c>
      <c r="B163" t="s">
        <v>175</v>
      </c>
      <c r="C163" t="s">
        <v>2365</v>
      </c>
      <c r="D163" t="s">
        <v>2366</v>
      </c>
      <c r="E163" t="s">
        <v>2367</v>
      </c>
      <c r="F163" t="s">
        <v>1859</v>
      </c>
      <c r="G163" s="54">
        <v>46254</v>
      </c>
      <c r="H163" t="s">
        <v>1860</v>
      </c>
      <c r="I163" t="s">
        <v>1861</v>
      </c>
      <c r="J163" t="s">
        <v>1862</v>
      </c>
      <c r="K163" t="s">
        <v>2368</v>
      </c>
    </row>
    <row r="164" spans="1:11" x14ac:dyDescent="0.3">
      <c r="A164" t="s">
        <v>884</v>
      </c>
      <c r="B164" t="s">
        <v>175</v>
      </c>
      <c r="C164" t="s">
        <v>2369</v>
      </c>
      <c r="D164" t="s">
        <v>2370</v>
      </c>
      <c r="E164" t="s">
        <v>2371</v>
      </c>
      <c r="F164" t="s">
        <v>1859</v>
      </c>
      <c r="G164" s="54">
        <v>46254</v>
      </c>
      <c r="H164" t="s">
        <v>1860</v>
      </c>
      <c r="I164" t="s">
        <v>1861</v>
      </c>
      <c r="J164" t="s">
        <v>1862</v>
      </c>
      <c r="K164" t="s">
        <v>2372</v>
      </c>
    </row>
    <row r="165" spans="1:11" x14ac:dyDescent="0.3">
      <c r="A165" t="s">
        <v>884</v>
      </c>
      <c r="B165" t="s">
        <v>450</v>
      </c>
      <c r="C165" t="s">
        <v>2373</v>
      </c>
      <c r="D165" t="s">
        <v>2374</v>
      </c>
      <c r="E165" t="s">
        <v>2375</v>
      </c>
      <c r="F165" t="s">
        <v>1859</v>
      </c>
      <c r="G165" s="54">
        <v>46258</v>
      </c>
      <c r="H165" t="s">
        <v>1860</v>
      </c>
      <c r="I165" t="s">
        <v>1861</v>
      </c>
      <c r="J165" t="s">
        <v>1862</v>
      </c>
      <c r="K165" t="s">
        <v>2376</v>
      </c>
    </row>
    <row r="166" spans="1:11" x14ac:dyDescent="0.3">
      <c r="A166" t="s">
        <v>884</v>
      </c>
      <c r="B166" t="s">
        <v>156</v>
      </c>
      <c r="C166" t="s">
        <v>2377</v>
      </c>
      <c r="D166" t="s">
        <v>2378</v>
      </c>
      <c r="E166" t="s">
        <v>2379</v>
      </c>
      <c r="F166" t="s">
        <v>1874</v>
      </c>
      <c r="G166" s="54">
        <v>46258</v>
      </c>
      <c r="H166" t="s">
        <v>2079</v>
      </c>
      <c r="I166" t="s">
        <v>1845</v>
      </c>
      <c r="J166" t="s">
        <v>2080</v>
      </c>
      <c r="K166" t="s">
        <v>2380</v>
      </c>
    </row>
    <row r="167" spans="1:11" x14ac:dyDescent="0.3">
      <c r="A167" t="s">
        <v>884</v>
      </c>
      <c r="B167" t="s">
        <v>156</v>
      </c>
      <c r="C167" t="s">
        <v>2381</v>
      </c>
      <c r="D167" t="s">
        <v>2382</v>
      </c>
      <c r="E167" t="s">
        <v>2383</v>
      </c>
      <c r="F167" t="s">
        <v>1859</v>
      </c>
      <c r="G167" s="54">
        <v>46273</v>
      </c>
      <c r="H167" t="s">
        <v>1860</v>
      </c>
      <c r="I167" t="s">
        <v>1861</v>
      </c>
      <c r="J167" t="s">
        <v>1862</v>
      </c>
      <c r="K167" t="s">
        <v>2384</v>
      </c>
    </row>
    <row r="168" spans="1:11" x14ac:dyDescent="0.3">
      <c r="A168" t="s">
        <v>884</v>
      </c>
      <c r="B168" t="s">
        <v>175</v>
      </c>
      <c r="C168" t="s">
        <v>2385</v>
      </c>
      <c r="D168" t="s">
        <v>2386</v>
      </c>
      <c r="E168" t="s">
        <v>2387</v>
      </c>
      <c r="F168" t="s">
        <v>1859</v>
      </c>
      <c r="G168" s="54">
        <v>46278</v>
      </c>
      <c r="H168" t="s">
        <v>1860</v>
      </c>
      <c r="I168" t="s">
        <v>1861</v>
      </c>
      <c r="J168" t="s">
        <v>1862</v>
      </c>
      <c r="K168" t="s">
        <v>2388</v>
      </c>
    </row>
    <row r="169" spans="1:11" x14ac:dyDescent="0.3">
      <c r="A169" t="s">
        <v>884</v>
      </c>
      <c r="B169" t="s">
        <v>175</v>
      </c>
      <c r="C169" t="s">
        <v>2389</v>
      </c>
      <c r="D169" t="s">
        <v>2386</v>
      </c>
      <c r="E169" t="s">
        <v>2390</v>
      </c>
      <c r="F169" t="s">
        <v>1859</v>
      </c>
      <c r="G169" s="54">
        <v>46278</v>
      </c>
      <c r="H169" t="s">
        <v>1860</v>
      </c>
      <c r="I169" t="s">
        <v>1861</v>
      </c>
      <c r="J169" t="s">
        <v>1862</v>
      </c>
      <c r="K169" t="s">
        <v>2388</v>
      </c>
    </row>
    <row r="170" spans="1:11" x14ac:dyDescent="0.3">
      <c r="A170" t="s">
        <v>884</v>
      </c>
      <c r="B170" t="s">
        <v>175</v>
      </c>
      <c r="C170" t="s">
        <v>2391</v>
      </c>
      <c r="D170" t="s">
        <v>2386</v>
      </c>
      <c r="E170" t="s">
        <v>2392</v>
      </c>
      <c r="F170" t="s">
        <v>1859</v>
      </c>
      <c r="G170" s="54">
        <v>46278</v>
      </c>
      <c r="H170" t="s">
        <v>1860</v>
      </c>
      <c r="I170" t="s">
        <v>1861</v>
      </c>
      <c r="J170" t="s">
        <v>1862</v>
      </c>
      <c r="K170" t="s">
        <v>2388</v>
      </c>
    </row>
    <row r="171" spans="1:11" x14ac:dyDescent="0.3">
      <c r="A171" t="s">
        <v>884</v>
      </c>
      <c r="B171" t="s">
        <v>156</v>
      </c>
      <c r="C171" t="s">
        <v>2393</v>
      </c>
      <c r="D171" t="s">
        <v>2394</v>
      </c>
      <c r="E171" t="s">
        <v>2395</v>
      </c>
      <c r="F171" t="s">
        <v>1859</v>
      </c>
      <c r="G171" s="54">
        <v>46279</v>
      </c>
      <c r="H171" t="s">
        <v>1868</v>
      </c>
      <c r="I171" t="s">
        <v>1845</v>
      </c>
      <c r="J171" t="s">
        <v>1869</v>
      </c>
      <c r="K171" t="s">
        <v>2396</v>
      </c>
    </row>
    <row r="172" spans="1:11" x14ac:dyDescent="0.3">
      <c r="A172" t="s">
        <v>884</v>
      </c>
      <c r="B172" t="s">
        <v>156</v>
      </c>
      <c r="C172" t="s">
        <v>2397</v>
      </c>
      <c r="D172" t="s">
        <v>2398</v>
      </c>
      <c r="E172" t="s">
        <v>2399</v>
      </c>
      <c r="F172" t="s">
        <v>1859</v>
      </c>
      <c r="G172" s="54">
        <v>46309</v>
      </c>
      <c r="H172" t="s">
        <v>1860</v>
      </c>
      <c r="I172" t="s">
        <v>1861</v>
      </c>
      <c r="J172" t="s">
        <v>1862</v>
      </c>
      <c r="K172" t="s">
        <v>2400</v>
      </c>
    </row>
    <row r="173" spans="1:11" x14ac:dyDescent="0.3">
      <c r="A173" t="s">
        <v>884</v>
      </c>
      <c r="B173" t="s">
        <v>156</v>
      </c>
      <c r="C173" t="s">
        <v>2401</v>
      </c>
      <c r="D173" t="s">
        <v>2398</v>
      </c>
      <c r="E173" t="s">
        <v>2402</v>
      </c>
      <c r="F173" t="s">
        <v>1859</v>
      </c>
      <c r="G173" s="54">
        <v>46309</v>
      </c>
      <c r="H173" t="s">
        <v>1860</v>
      </c>
      <c r="I173" t="s">
        <v>1861</v>
      </c>
      <c r="J173" t="s">
        <v>1862</v>
      </c>
      <c r="K173" t="s">
        <v>2400</v>
      </c>
    </row>
    <row r="174" spans="1:11" x14ac:dyDescent="0.3">
      <c r="A174" t="s">
        <v>884</v>
      </c>
      <c r="B174" t="s">
        <v>156</v>
      </c>
      <c r="C174" t="s">
        <v>2403</v>
      </c>
      <c r="D174" t="s">
        <v>2398</v>
      </c>
      <c r="E174" t="s">
        <v>2404</v>
      </c>
      <c r="F174" t="s">
        <v>1859</v>
      </c>
      <c r="G174" s="54">
        <v>46309</v>
      </c>
      <c r="H174" t="s">
        <v>1860</v>
      </c>
      <c r="I174" t="s">
        <v>1861</v>
      </c>
      <c r="J174" t="s">
        <v>1862</v>
      </c>
      <c r="K174" t="s">
        <v>2400</v>
      </c>
    </row>
    <row r="175" spans="1:11" x14ac:dyDescent="0.3">
      <c r="A175" t="s">
        <v>884</v>
      </c>
      <c r="B175" t="s">
        <v>156</v>
      </c>
      <c r="C175" t="s">
        <v>2405</v>
      </c>
      <c r="D175" t="s">
        <v>2398</v>
      </c>
      <c r="E175" t="s">
        <v>2406</v>
      </c>
      <c r="F175" t="s">
        <v>1859</v>
      </c>
      <c r="G175" s="54">
        <v>46309</v>
      </c>
      <c r="H175" t="s">
        <v>1860</v>
      </c>
      <c r="I175" t="s">
        <v>1861</v>
      </c>
      <c r="J175" t="s">
        <v>1862</v>
      </c>
      <c r="K175" t="s">
        <v>2400</v>
      </c>
    </row>
    <row r="176" spans="1:11" x14ac:dyDescent="0.3">
      <c r="A176" t="s">
        <v>884</v>
      </c>
      <c r="B176" t="s">
        <v>156</v>
      </c>
      <c r="C176" t="s">
        <v>2407</v>
      </c>
      <c r="D176" t="s">
        <v>2398</v>
      </c>
      <c r="E176" t="s">
        <v>2408</v>
      </c>
      <c r="F176" t="s">
        <v>1859</v>
      </c>
      <c r="G176" s="54">
        <v>46309</v>
      </c>
      <c r="H176" t="s">
        <v>1860</v>
      </c>
      <c r="I176" t="s">
        <v>1861</v>
      </c>
      <c r="J176" t="s">
        <v>1862</v>
      </c>
      <c r="K176" t="s">
        <v>2400</v>
      </c>
    </row>
    <row r="177" spans="1:11" x14ac:dyDescent="0.3">
      <c r="A177" t="s">
        <v>884</v>
      </c>
      <c r="B177" t="s">
        <v>156</v>
      </c>
      <c r="C177" t="s">
        <v>2409</v>
      </c>
      <c r="D177" t="s">
        <v>2398</v>
      </c>
      <c r="E177" t="s">
        <v>2410</v>
      </c>
      <c r="F177" t="s">
        <v>1859</v>
      </c>
      <c r="G177" s="54">
        <v>46309</v>
      </c>
      <c r="H177" t="s">
        <v>1860</v>
      </c>
      <c r="I177" t="s">
        <v>1861</v>
      </c>
      <c r="J177" t="s">
        <v>1862</v>
      </c>
      <c r="K177" t="s">
        <v>2400</v>
      </c>
    </row>
    <row r="178" spans="1:11" x14ac:dyDescent="0.3">
      <c r="A178" t="s">
        <v>884</v>
      </c>
      <c r="B178" t="s">
        <v>156</v>
      </c>
      <c r="C178" t="s">
        <v>2411</v>
      </c>
      <c r="D178" t="s">
        <v>2398</v>
      </c>
      <c r="E178" t="s">
        <v>2412</v>
      </c>
      <c r="F178" t="s">
        <v>1859</v>
      </c>
      <c r="G178" s="54">
        <v>46309</v>
      </c>
      <c r="H178" t="s">
        <v>1860</v>
      </c>
      <c r="I178" t="s">
        <v>1861</v>
      </c>
      <c r="J178" t="s">
        <v>1862</v>
      </c>
      <c r="K178" t="s">
        <v>2400</v>
      </c>
    </row>
    <row r="179" spans="1:11" x14ac:dyDescent="0.3">
      <c r="A179" t="s">
        <v>884</v>
      </c>
      <c r="B179" t="s">
        <v>156</v>
      </c>
      <c r="C179" t="s">
        <v>2413</v>
      </c>
      <c r="D179" t="s">
        <v>2414</v>
      </c>
      <c r="E179" t="s">
        <v>2414</v>
      </c>
      <c r="F179" t="s">
        <v>1859</v>
      </c>
      <c r="G179" s="54">
        <v>46310</v>
      </c>
      <c r="H179" t="s">
        <v>1860</v>
      </c>
      <c r="I179" t="s">
        <v>1861</v>
      </c>
      <c r="J179" t="s">
        <v>1862</v>
      </c>
      <c r="K179" t="s">
        <v>2415</v>
      </c>
    </row>
    <row r="180" spans="1:11" x14ac:dyDescent="0.3">
      <c r="A180" t="s">
        <v>884</v>
      </c>
      <c r="B180" t="s">
        <v>450</v>
      </c>
      <c r="C180" t="s">
        <v>2416</v>
      </c>
      <c r="D180" t="s">
        <v>2417</v>
      </c>
      <c r="E180" t="s">
        <v>2418</v>
      </c>
      <c r="F180" t="s">
        <v>1859</v>
      </c>
      <c r="G180" s="54">
        <v>46344</v>
      </c>
      <c r="H180" t="s">
        <v>1860</v>
      </c>
      <c r="I180" t="s">
        <v>1861</v>
      </c>
      <c r="J180" t="s">
        <v>1862</v>
      </c>
      <c r="K180" t="s">
        <v>2419</v>
      </c>
    </row>
    <row r="181" spans="1:11" x14ac:dyDescent="0.3">
      <c r="A181" t="s">
        <v>884</v>
      </c>
      <c r="B181" t="s">
        <v>1993</v>
      </c>
      <c r="C181" t="s">
        <v>2420</v>
      </c>
      <c r="D181" t="s">
        <v>2421</v>
      </c>
      <c r="E181" t="s">
        <v>2422</v>
      </c>
      <c r="F181" t="s">
        <v>1859</v>
      </c>
      <c r="G181" s="54">
        <v>46345</v>
      </c>
      <c r="H181" t="s">
        <v>1860</v>
      </c>
      <c r="I181" t="s">
        <v>1861</v>
      </c>
      <c r="J181" t="s">
        <v>1862</v>
      </c>
      <c r="K181" t="s">
        <v>2423</v>
      </c>
    </row>
    <row r="182" spans="1:11" x14ac:dyDescent="0.3">
      <c r="A182" t="s">
        <v>884</v>
      </c>
      <c r="B182" t="s">
        <v>156</v>
      </c>
      <c r="C182" t="s">
        <v>2424</v>
      </c>
      <c r="D182" t="s">
        <v>2425</v>
      </c>
      <c r="E182" t="s">
        <v>2426</v>
      </c>
      <c r="F182" t="s">
        <v>1859</v>
      </c>
      <c r="G182" s="54">
        <v>46348</v>
      </c>
      <c r="H182" t="s">
        <v>1860</v>
      </c>
      <c r="I182" t="s">
        <v>1861</v>
      </c>
      <c r="J182" t="s">
        <v>1862</v>
      </c>
      <c r="K182" t="s">
        <v>2427</v>
      </c>
    </row>
    <row r="183" spans="1:11" x14ac:dyDescent="0.3">
      <c r="A183" t="s">
        <v>884</v>
      </c>
      <c r="B183" t="s">
        <v>156</v>
      </c>
      <c r="C183" t="s">
        <v>2428</v>
      </c>
      <c r="D183" t="s">
        <v>2425</v>
      </c>
      <c r="E183" t="s">
        <v>2429</v>
      </c>
      <c r="F183" t="s">
        <v>1859</v>
      </c>
      <c r="G183" s="54">
        <v>46348</v>
      </c>
      <c r="H183" t="s">
        <v>1860</v>
      </c>
      <c r="I183" t="s">
        <v>1861</v>
      </c>
      <c r="J183" t="s">
        <v>1862</v>
      </c>
      <c r="K183" t="s">
        <v>2427</v>
      </c>
    </row>
    <row r="184" spans="1:11" x14ac:dyDescent="0.3">
      <c r="A184" t="s">
        <v>884</v>
      </c>
      <c r="B184" t="s">
        <v>175</v>
      </c>
      <c r="C184" t="s">
        <v>2430</v>
      </c>
      <c r="D184" t="s">
        <v>2431</v>
      </c>
      <c r="E184" t="s">
        <v>2432</v>
      </c>
      <c r="F184" t="s">
        <v>1859</v>
      </c>
      <c r="G184" s="54">
        <v>46379</v>
      </c>
      <c r="H184" t="s">
        <v>1860</v>
      </c>
      <c r="I184" t="s">
        <v>1861</v>
      </c>
      <c r="J184" t="s">
        <v>1862</v>
      </c>
      <c r="K184" t="s">
        <v>2433</v>
      </c>
    </row>
    <row r="185" spans="1:11" x14ac:dyDescent="0.3">
      <c r="A185" t="s">
        <v>884</v>
      </c>
      <c r="B185" t="s">
        <v>175</v>
      </c>
      <c r="C185" t="s">
        <v>2434</v>
      </c>
      <c r="D185" t="s">
        <v>2431</v>
      </c>
      <c r="E185" t="s">
        <v>2435</v>
      </c>
      <c r="F185" t="s">
        <v>1859</v>
      </c>
      <c r="G185" s="54">
        <v>46379</v>
      </c>
      <c r="H185" t="s">
        <v>1860</v>
      </c>
      <c r="I185" t="s">
        <v>1861</v>
      </c>
      <c r="J185" t="s">
        <v>1862</v>
      </c>
      <c r="K185" t="s">
        <v>2433</v>
      </c>
    </row>
    <row r="186" spans="1:11" x14ac:dyDescent="0.3">
      <c r="A186" t="s">
        <v>884</v>
      </c>
      <c r="B186" t="s">
        <v>175</v>
      </c>
      <c r="C186" t="s">
        <v>2436</v>
      </c>
      <c r="D186" t="s">
        <v>2431</v>
      </c>
      <c r="E186" t="s">
        <v>2437</v>
      </c>
      <c r="F186" t="s">
        <v>1859</v>
      </c>
      <c r="G186" s="54">
        <v>46379</v>
      </c>
      <c r="H186" t="s">
        <v>1860</v>
      </c>
      <c r="I186" t="s">
        <v>1861</v>
      </c>
      <c r="J186" t="s">
        <v>1862</v>
      </c>
      <c r="K186" t="s">
        <v>2433</v>
      </c>
    </row>
    <row r="187" spans="1:11" x14ac:dyDescent="0.3">
      <c r="A187" t="s">
        <v>884</v>
      </c>
      <c r="B187" t="s">
        <v>156</v>
      </c>
      <c r="C187" t="s">
        <v>2438</v>
      </c>
      <c r="D187" t="s">
        <v>2439</v>
      </c>
      <c r="E187" t="s">
        <v>2440</v>
      </c>
      <c r="F187" t="s">
        <v>1859</v>
      </c>
      <c r="G187" s="54">
        <v>46383</v>
      </c>
      <c r="H187" t="s">
        <v>1868</v>
      </c>
      <c r="I187" t="s">
        <v>1845</v>
      </c>
      <c r="J187" t="s">
        <v>1869</v>
      </c>
      <c r="K187" t="s">
        <v>2441</v>
      </c>
    </row>
    <row r="188" spans="1:11" x14ac:dyDescent="0.3">
      <c r="A188" t="s">
        <v>884</v>
      </c>
      <c r="B188" t="s">
        <v>156</v>
      </c>
      <c r="C188" t="s">
        <v>2442</v>
      </c>
      <c r="D188" t="s">
        <v>2443</v>
      </c>
      <c r="E188" t="s">
        <v>2444</v>
      </c>
      <c r="F188" t="s">
        <v>1859</v>
      </c>
      <c r="G188" s="54">
        <v>46385</v>
      </c>
      <c r="H188" t="s">
        <v>1860</v>
      </c>
      <c r="I188" t="s">
        <v>1861</v>
      </c>
      <c r="J188" t="s">
        <v>1862</v>
      </c>
      <c r="K188" t="s">
        <v>2445</v>
      </c>
    </row>
    <row r="189" spans="1:11" x14ac:dyDescent="0.3">
      <c r="A189" t="s">
        <v>884</v>
      </c>
      <c r="B189" t="s">
        <v>1993</v>
      </c>
      <c r="C189" t="s">
        <v>2446</v>
      </c>
      <c r="D189" t="s">
        <v>2447</v>
      </c>
      <c r="E189" t="s">
        <v>2448</v>
      </c>
      <c r="F189" t="s">
        <v>1859</v>
      </c>
      <c r="G189" s="54">
        <v>46392</v>
      </c>
      <c r="H189" t="s">
        <v>2449</v>
      </c>
      <c r="I189" t="s">
        <v>1845</v>
      </c>
      <c r="J189" t="s">
        <v>1862</v>
      </c>
      <c r="K189" t="s">
        <v>2450</v>
      </c>
    </row>
    <row r="190" spans="1:11" x14ac:dyDescent="0.3">
      <c r="A190" t="s">
        <v>884</v>
      </c>
      <c r="B190" t="s">
        <v>156</v>
      </c>
      <c r="C190" t="s">
        <v>2451</v>
      </c>
      <c r="D190" t="s">
        <v>2452</v>
      </c>
      <c r="E190" t="s">
        <v>2453</v>
      </c>
      <c r="F190" t="s">
        <v>1859</v>
      </c>
      <c r="G190" s="54">
        <v>46404</v>
      </c>
      <c r="H190" t="s">
        <v>1860</v>
      </c>
      <c r="I190" t="s">
        <v>1861</v>
      </c>
      <c r="J190" t="s">
        <v>1862</v>
      </c>
      <c r="K190" t="s">
        <v>2454</v>
      </c>
    </row>
    <row r="191" spans="1:11" x14ac:dyDescent="0.3">
      <c r="A191" t="s">
        <v>884</v>
      </c>
      <c r="B191" t="s">
        <v>156</v>
      </c>
      <c r="C191" t="s">
        <v>2455</v>
      </c>
      <c r="D191" t="s">
        <v>2456</v>
      </c>
      <c r="E191" t="s">
        <v>2456</v>
      </c>
      <c r="F191" t="s">
        <v>1859</v>
      </c>
      <c r="G191" s="54">
        <v>46406</v>
      </c>
      <c r="H191" t="s">
        <v>1868</v>
      </c>
      <c r="I191" t="s">
        <v>1845</v>
      </c>
      <c r="J191" t="s">
        <v>1869</v>
      </c>
      <c r="K191" t="s">
        <v>2457</v>
      </c>
    </row>
    <row r="192" spans="1:11" x14ac:dyDescent="0.3">
      <c r="A192" t="s">
        <v>884</v>
      </c>
      <c r="B192" t="s">
        <v>156</v>
      </c>
      <c r="C192" t="s">
        <v>2458</v>
      </c>
      <c r="D192" t="s">
        <v>2459</v>
      </c>
      <c r="E192" t="s">
        <v>2460</v>
      </c>
      <c r="F192" t="s">
        <v>1859</v>
      </c>
      <c r="G192" s="54">
        <v>46461</v>
      </c>
      <c r="H192" t="s">
        <v>1868</v>
      </c>
      <c r="I192" t="s">
        <v>1845</v>
      </c>
      <c r="J192" t="s">
        <v>1869</v>
      </c>
      <c r="K192" t="s">
        <v>2461</v>
      </c>
    </row>
    <row r="193" spans="1:11" x14ac:dyDescent="0.3">
      <c r="A193" t="s">
        <v>884</v>
      </c>
      <c r="B193" t="s">
        <v>156</v>
      </c>
      <c r="C193" t="s">
        <v>2462</v>
      </c>
      <c r="D193" t="s">
        <v>2459</v>
      </c>
      <c r="E193" t="s">
        <v>2463</v>
      </c>
      <c r="F193" t="s">
        <v>1859</v>
      </c>
      <c r="G193" s="54">
        <v>46461</v>
      </c>
      <c r="H193" t="s">
        <v>1868</v>
      </c>
      <c r="I193" t="s">
        <v>1845</v>
      </c>
      <c r="J193" t="s">
        <v>1869</v>
      </c>
      <c r="K193" t="s">
        <v>2461</v>
      </c>
    </row>
    <row r="194" spans="1:11" x14ac:dyDescent="0.3">
      <c r="A194" t="s">
        <v>884</v>
      </c>
      <c r="B194" t="s">
        <v>450</v>
      </c>
      <c r="C194" t="s">
        <v>2464</v>
      </c>
      <c r="D194" t="s">
        <v>2465</v>
      </c>
      <c r="E194" t="s">
        <v>2466</v>
      </c>
      <c r="F194" t="s">
        <v>1859</v>
      </c>
      <c r="G194" s="54">
        <v>46481</v>
      </c>
      <c r="H194" t="s">
        <v>1868</v>
      </c>
      <c r="I194" t="s">
        <v>1845</v>
      </c>
      <c r="J194" t="s">
        <v>1869</v>
      </c>
      <c r="K194" t="s">
        <v>2467</v>
      </c>
    </row>
    <row r="195" spans="1:11" x14ac:dyDescent="0.3">
      <c r="A195" t="s">
        <v>884</v>
      </c>
      <c r="B195" t="s">
        <v>156</v>
      </c>
      <c r="C195" t="s">
        <v>2468</v>
      </c>
      <c r="D195" t="s">
        <v>2469</v>
      </c>
      <c r="E195" t="s">
        <v>2470</v>
      </c>
      <c r="F195" t="s">
        <v>1859</v>
      </c>
      <c r="G195" s="54">
        <v>46483</v>
      </c>
      <c r="H195" t="s">
        <v>1868</v>
      </c>
      <c r="I195" t="s">
        <v>1845</v>
      </c>
      <c r="J195" t="s">
        <v>1869</v>
      </c>
      <c r="K195" t="s">
        <v>2471</v>
      </c>
    </row>
    <row r="196" spans="1:11" x14ac:dyDescent="0.3">
      <c r="A196" t="s">
        <v>884</v>
      </c>
      <c r="B196" t="s">
        <v>450</v>
      </c>
      <c r="C196" t="s">
        <v>2472</v>
      </c>
      <c r="D196" t="s">
        <v>2473</v>
      </c>
      <c r="E196" t="s">
        <v>2474</v>
      </c>
      <c r="F196" t="s">
        <v>1859</v>
      </c>
      <c r="G196" s="54">
        <v>46489</v>
      </c>
      <c r="H196" t="s">
        <v>1868</v>
      </c>
      <c r="I196" t="s">
        <v>1845</v>
      </c>
      <c r="J196" t="s">
        <v>1869</v>
      </c>
      <c r="K196" t="s">
        <v>2475</v>
      </c>
    </row>
    <row r="197" spans="1:11" x14ac:dyDescent="0.3">
      <c r="A197" t="s">
        <v>884</v>
      </c>
      <c r="B197" t="s">
        <v>450</v>
      </c>
      <c r="C197" t="s">
        <v>2476</v>
      </c>
      <c r="D197" t="s">
        <v>2473</v>
      </c>
      <c r="E197" t="s">
        <v>2477</v>
      </c>
      <c r="F197" t="s">
        <v>1859</v>
      </c>
      <c r="G197" s="54">
        <v>46490</v>
      </c>
      <c r="H197" t="s">
        <v>1868</v>
      </c>
      <c r="I197" t="s">
        <v>1845</v>
      </c>
      <c r="J197" t="s">
        <v>1869</v>
      </c>
      <c r="K197" t="s">
        <v>2475</v>
      </c>
    </row>
    <row r="198" spans="1:11" x14ac:dyDescent="0.3">
      <c r="A198" t="s">
        <v>884</v>
      </c>
      <c r="B198" t="s">
        <v>450</v>
      </c>
      <c r="C198" t="s">
        <v>2478</v>
      </c>
      <c r="D198" t="s">
        <v>2479</v>
      </c>
      <c r="E198" t="s">
        <v>2479</v>
      </c>
      <c r="F198" t="s">
        <v>1859</v>
      </c>
      <c r="G198" s="54">
        <v>46490</v>
      </c>
      <c r="H198" t="s">
        <v>1868</v>
      </c>
      <c r="I198" t="s">
        <v>1845</v>
      </c>
      <c r="J198" t="s">
        <v>1869</v>
      </c>
      <c r="K198" t="s">
        <v>2480</v>
      </c>
    </row>
    <row r="199" spans="1:11" x14ac:dyDescent="0.3">
      <c r="A199" t="s">
        <v>884</v>
      </c>
      <c r="B199" t="s">
        <v>450</v>
      </c>
      <c r="C199" t="s">
        <v>2481</v>
      </c>
      <c r="D199" t="s">
        <v>2479</v>
      </c>
      <c r="E199" t="s">
        <v>2482</v>
      </c>
      <c r="F199" t="s">
        <v>1859</v>
      </c>
      <c r="G199" s="54">
        <v>46490</v>
      </c>
      <c r="H199" t="s">
        <v>1868</v>
      </c>
      <c r="I199" t="s">
        <v>1845</v>
      </c>
      <c r="J199" t="s">
        <v>1869</v>
      </c>
      <c r="K199" t="s">
        <v>2480</v>
      </c>
    </row>
    <row r="200" spans="1:11" x14ac:dyDescent="0.3">
      <c r="A200" t="s">
        <v>884</v>
      </c>
      <c r="B200" t="s">
        <v>450</v>
      </c>
      <c r="C200" t="s">
        <v>2483</v>
      </c>
      <c r="D200" t="s">
        <v>2484</v>
      </c>
      <c r="E200" t="s">
        <v>2484</v>
      </c>
      <c r="F200" t="s">
        <v>1859</v>
      </c>
      <c r="G200" s="54">
        <v>46490</v>
      </c>
      <c r="H200" t="s">
        <v>1868</v>
      </c>
      <c r="I200" t="s">
        <v>1845</v>
      </c>
      <c r="J200" t="s">
        <v>1869</v>
      </c>
      <c r="K200" t="s">
        <v>2485</v>
      </c>
    </row>
    <row r="201" spans="1:11" x14ac:dyDescent="0.3">
      <c r="A201" t="s">
        <v>884</v>
      </c>
      <c r="B201" t="s">
        <v>450</v>
      </c>
      <c r="C201" t="s">
        <v>2486</v>
      </c>
      <c r="D201" t="s">
        <v>2484</v>
      </c>
      <c r="E201" t="s">
        <v>2487</v>
      </c>
      <c r="F201" t="s">
        <v>1859</v>
      </c>
      <c r="G201" s="54">
        <v>46490</v>
      </c>
      <c r="H201" t="s">
        <v>1868</v>
      </c>
      <c r="I201" t="s">
        <v>1845</v>
      </c>
      <c r="J201" t="s">
        <v>1869</v>
      </c>
      <c r="K201" t="s">
        <v>2485</v>
      </c>
    </row>
    <row r="202" spans="1:11" x14ac:dyDescent="0.3">
      <c r="A202" t="s">
        <v>884</v>
      </c>
      <c r="B202" t="s">
        <v>156</v>
      </c>
      <c r="C202" t="s">
        <v>2488</v>
      </c>
      <c r="D202" t="s">
        <v>2489</v>
      </c>
      <c r="E202" t="s">
        <v>2490</v>
      </c>
      <c r="F202" t="s">
        <v>1859</v>
      </c>
      <c r="G202" s="54">
        <v>46524</v>
      </c>
      <c r="H202" t="s">
        <v>1860</v>
      </c>
      <c r="I202" t="s">
        <v>1861</v>
      </c>
      <c r="J202" t="s">
        <v>1862</v>
      </c>
      <c r="K202" t="s">
        <v>2491</v>
      </c>
    </row>
    <row r="203" spans="1:11" x14ac:dyDescent="0.3">
      <c r="A203" t="s">
        <v>884</v>
      </c>
      <c r="B203" t="s">
        <v>450</v>
      </c>
      <c r="C203" t="s">
        <v>2492</v>
      </c>
      <c r="D203" t="s">
        <v>2493</v>
      </c>
      <c r="E203" t="s">
        <v>2493</v>
      </c>
      <c r="F203" t="s">
        <v>1859</v>
      </c>
      <c r="G203" s="54">
        <v>46525</v>
      </c>
      <c r="H203" t="s">
        <v>1868</v>
      </c>
      <c r="I203" t="s">
        <v>1845</v>
      </c>
      <c r="J203" t="s">
        <v>1869</v>
      </c>
      <c r="K203" t="s">
        <v>2494</v>
      </c>
    </row>
    <row r="204" spans="1:11" x14ac:dyDescent="0.3">
      <c r="A204" t="s">
        <v>884</v>
      </c>
      <c r="B204" t="s">
        <v>156</v>
      </c>
      <c r="C204" t="s">
        <v>2495</v>
      </c>
      <c r="D204" t="s">
        <v>2496</v>
      </c>
      <c r="E204" t="s">
        <v>2496</v>
      </c>
      <c r="F204" t="s">
        <v>1859</v>
      </c>
      <c r="G204" s="54">
        <v>46535</v>
      </c>
      <c r="H204" t="s">
        <v>1860</v>
      </c>
      <c r="I204" t="s">
        <v>1861</v>
      </c>
      <c r="J204" t="s">
        <v>1862</v>
      </c>
      <c r="K204" t="s">
        <v>2497</v>
      </c>
    </row>
    <row r="205" spans="1:11" x14ac:dyDescent="0.3">
      <c r="A205" t="s">
        <v>884</v>
      </c>
      <c r="B205" t="s">
        <v>156</v>
      </c>
      <c r="C205" t="s">
        <v>2498</v>
      </c>
      <c r="D205" t="s">
        <v>2499</v>
      </c>
      <c r="E205" t="s">
        <v>2500</v>
      </c>
      <c r="F205" t="s">
        <v>1859</v>
      </c>
      <c r="G205" s="54">
        <v>46537</v>
      </c>
      <c r="H205" t="s">
        <v>1860</v>
      </c>
      <c r="I205" t="s">
        <v>1861</v>
      </c>
      <c r="J205" t="s">
        <v>1862</v>
      </c>
      <c r="K205" t="s">
        <v>2501</v>
      </c>
    </row>
    <row r="206" spans="1:11" x14ac:dyDescent="0.3">
      <c r="A206" t="s">
        <v>884</v>
      </c>
      <c r="B206" t="s">
        <v>156</v>
      </c>
      <c r="C206" t="s">
        <v>2502</v>
      </c>
      <c r="D206" t="s">
        <v>2503</v>
      </c>
      <c r="E206" t="s">
        <v>2504</v>
      </c>
      <c r="F206" t="s">
        <v>1859</v>
      </c>
      <c r="G206" s="54">
        <v>46537</v>
      </c>
      <c r="H206" t="s">
        <v>1860</v>
      </c>
      <c r="I206" t="s">
        <v>1861</v>
      </c>
      <c r="J206" t="s">
        <v>1862</v>
      </c>
      <c r="K206" t="s">
        <v>2505</v>
      </c>
    </row>
    <row r="207" spans="1:11" x14ac:dyDescent="0.3">
      <c r="A207" t="s">
        <v>884</v>
      </c>
      <c r="B207" t="s">
        <v>156</v>
      </c>
      <c r="C207" t="s">
        <v>2506</v>
      </c>
      <c r="D207" t="s">
        <v>2133</v>
      </c>
      <c r="E207" t="s">
        <v>2507</v>
      </c>
      <c r="F207" t="s">
        <v>1859</v>
      </c>
      <c r="G207" s="54">
        <v>46541</v>
      </c>
      <c r="H207" t="s">
        <v>1844</v>
      </c>
      <c r="I207" t="s">
        <v>1845</v>
      </c>
      <c r="J207" t="s">
        <v>1846</v>
      </c>
      <c r="K207" t="s">
        <v>2508</v>
      </c>
    </row>
    <row r="208" spans="1:11" x14ac:dyDescent="0.3">
      <c r="A208" t="s">
        <v>884</v>
      </c>
      <c r="B208" t="s">
        <v>156</v>
      </c>
      <c r="C208" t="s">
        <v>2509</v>
      </c>
      <c r="D208" t="s">
        <v>2137</v>
      </c>
      <c r="E208" t="s">
        <v>2510</v>
      </c>
      <c r="F208" t="s">
        <v>1859</v>
      </c>
      <c r="G208" s="54">
        <v>46541</v>
      </c>
      <c r="H208" t="s">
        <v>1844</v>
      </c>
      <c r="I208" t="s">
        <v>1845</v>
      </c>
      <c r="J208" t="s">
        <v>1846</v>
      </c>
      <c r="K208" t="s">
        <v>2511</v>
      </c>
    </row>
    <row r="209" spans="1:11" x14ac:dyDescent="0.3">
      <c r="A209" t="s">
        <v>884</v>
      </c>
      <c r="B209" t="s">
        <v>156</v>
      </c>
      <c r="C209" t="s">
        <v>2512</v>
      </c>
      <c r="D209" t="s">
        <v>1937</v>
      </c>
      <c r="E209" t="s">
        <v>2513</v>
      </c>
      <c r="F209" t="s">
        <v>1859</v>
      </c>
      <c r="G209" s="54">
        <v>46575</v>
      </c>
      <c r="H209" t="s">
        <v>1868</v>
      </c>
      <c r="I209" t="s">
        <v>1845</v>
      </c>
      <c r="J209" t="s">
        <v>1869</v>
      </c>
      <c r="K209" t="s">
        <v>1939</v>
      </c>
    </row>
    <row r="210" spans="1:11" x14ac:dyDescent="0.3">
      <c r="A210" t="s">
        <v>884</v>
      </c>
      <c r="B210" t="s">
        <v>156</v>
      </c>
      <c r="C210" t="s">
        <v>2514</v>
      </c>
      <c r="D210" t="s">
        <v>2515</v>
      </c>
      <c r="E210" t="s">
        <v>2516</v>
      </c>
      <c r="F210" t="s">
        <v>1859</v>
      </c>
      <c r="G210" s="54">
        <v>46593</v>
      </c>
      <c r="H210" t="s">
        <v>1868</v>
      </c>
      <c r="I210" t="s">
        <v>1845</v>
      </c>
      <c r="J210" t="s">
        <v>1869</v>
      </c>
      <c r="K210" t="s">
        <v>2517</v>
      </c>
    </row>
    <row r="211" spans="1:11" x14ac:dyDescent="0.3">
      <c r="A211" t="s">
        <v>884</v>
      </c>
      <c r="B211" t="s">
        <v>156</v>
      </c>
      <c r="C211" t="s">
        <v>2518</v>
      </c>
      <c r="D211" t="s">
        <v>2519</v>
      </c>
      <c r="E211" t="s">
        <v>2520</v>
      </c>
      <c r="F211" t="s">
        <v>1859</v>
      </c>
      <c r="G211" s="54">
        <v>46593</v>
      </c>
      <c r="H211" t="s">
        <v>1868</v>
      </c>
      <c r="I211" t="s">
        <v>1845</v>
      </c>
      <c r="J211" t="s">
        <v>1869</v>
      </c>
      <c r="K211" t="s">
        <v>2521</v>
      </c>
    </row>
    <row r="212" spans="1:11" x14ac:dyDescent="0.3">
      <c r="A212" t="s">
        <v>884</v>
      </c>
      <c r="B212" t="s">
        <v>156</v>
      </c>
      <c r="C212" t="s">
        <v>2522</v>
      </c>
      <c r="D212" t="s">
        <v>2523</v>
      </c>
      <c r="E212" t="s">
        <v>2523</v>
      </c>
      <c r="F212" t="s">
        <v>1859</v>
      </c>
      <c r="G212" s="54">
        <v>46593</v>
      </c>
      <c r="H212" t="s">
        <v>1868</v>
      </c>
      <c r="I212" t="s">
        <v>1845</v>
      </c>
      <c r="J212" t="s">
        <v>1869</v>
      </c>
      <c r="K212" t="s">
        <v>2524</v>
      </c>
    </row>
    <row r="213" spans="1:11" x14ac:dyDescent="0.3">
      <c r="A213" t="s">
        <v>884</v>
      </c>
      <c r="B213" t="s">
        <v>156</v>
      </c>
      <c r="C213" t="s">
        <v>2525</v>
      </c>
      <c r="D213" t="s">
        <v>2526</v>
      </c>
      <c r="E213" t="s">
        <v>2526</v>
      </c>
      <c r="F213" t="s">
        <v>1859</v>
      </c>
      <c r="G213" s="54">
        <v>46593</v>
      </c>
      <c r="H213" t="s">
        <v>1868</v>
      </c>
      <c r="I213" t="s">
        <v>1845</v>
      </c>
      <c r="J213" t="s">
        <v>1869</v>
      </c>
      <c r="K213" t="s">
        <v>2527</v>
      </c>
    </row>
    <row r="214" spans="1:11" x14ac:dyDescent="0.3">
      <c r="A214" t="s">
        <v>884</v>
      </c>
      <c r="B214" t="s">
        <v>156</v>
      </c>
      <c r="C214" t="s">
        <v>2528</v>
      </c>
      <c r="D214" t="s">
        <v>2529</v>
      </c>
      <c r="E214" t="s">
        <v>2529</v>
      </c>
      <c r="F214" t="s">
        <v>1859</v>
      </c>
      <c r="G214" s="54">
        <v>46593</v>
      </c>
      <c r="H214" t="s">
        <v>1868</v>
      </c>
      <c r="I214" t="s">
        <v>1845</v>
      </c>
      <c r="J214" t="s">
        <v>1869</v>
      </c>
      <c r="K214" t="s">
        <v>2530</v>
      </c>
    </row>
    <row r="215" spans="1:11" x14ac:dyDescent="0.3">
      <c r="A215" t="s">
        <v>884</v>
      </c>
      <c r="B215" t="s">
        <v>156</v>
      </c>
      <c r="C215" t="s">
        <v>2531</v>
      </c>
      <c r="D215" t="s">
        <v>2532</v>
      </c>
      <c r="E215" t="s">
        <v>2532</v>
      </c>
      <c r="F215" t="s">
        <v>1859</v>
      </c>
      <c r="G215" s="54">
        <v>46596</v>
      </c>
      <c r="H215" t="s">
        <v>1868</v>
      </c>
      <c r="I215" t="s">
        <v>1845</v>
      </c>
      <c r="J215" t="s">
        <v>1869</v>
      </c>
      <c r="K215" t="s">
        <v>2533</v>
      </c>
    </row>
    <row r="216" spans="1:11" x14ac:dyDescent="0.3">
      <c r="A216" t="s">
        <v>884</v>
      </c>
      <c r="B216" t="s">
        <v>156</v>
      </c>
      <c r="C216" t="s">
        <v>2534</v>
      </c>
      <c r="D216" t="s">
        <v>2535</v>
      </c>
      <c r="E216" t="s">
        <v>2535</v>
      </c>
      <c r="F216" t="s">
        <v>1859</v>
      </c>
      <c r="G216" s="54">
        <v>46596</v>
      </c>
      <c r="H216" t="s">
        <v>1868</v>
      </c>
      <c r="I216" t="s">
        <v>1845</v>
      </c>
      <c r="J216" t="s">
        <v>1869</v>
      </c>
      <c r="K216" t="s">
        <v>2536</v>
      </c>
    </row>
    <row r="217" spans="1:11" x14ac:dyDescent="0.3">
      <c r="A217" t="s">
        <v>884</v>
      </c>
      <c r="B217" t="s">
        <v>156</v>
      </c>
      <c r="C217" t="s">
        <v>2537</v>
      </c>
      <c r="D217" t="s">
        <v>2538</v>
      </c>
      <c r="E217" t="s">
        <v>2538</v>
      </c>
      <c r="F217" t="s">
        <v>1859</v>
      </c>
      <c r="G217" s="54">
        <v>46596</v>
      </c>
      <c r="H217" t="s">
        <v>1868</v>
      </c>
      <c r="I217" t="s">
        <v>1845</v>
      </c>
      <c r="J217" t="s">
        <v>1869</v>
      </c>
      <c r="K217" t="s">
        <v>2539</v>
      </c>
    </row>
    <row r="218" spans="1:11" x14ac:dyDescent="0.3">
      <c r="A218" t="s">
        <v>884</v>
      </c>
      <c r="B218" t="s">
        <v>156</v>
      </c>
      <c r="C218" t="s">
        <v>2540</v>
      </c>
      <c r="D218" t="s">
        <v>2541</v>
      </c>
      <c r="E218" t="s">
        <v>2541</v>
      </c>
      <c r="F218" t="s">
        <v>1859</v>
      </c>
      <c r="G218" s="54">
        <v>46596</v>
      </c>
      <c r="H218" t="s">
        <v>1868</v>
      </c>
      <c r="I218" t="s">
        <v>1845</v>
      </c>
      <c r="J218" t="s">
        <v>1869</v>
      </c>
      <c r="K218" t="s">
        <v>2542</v>
      </c>
    </row>
    <row r="219" spans="1:11" x14ac:dyDescent="0.3">
      <c r="A219" t="s">
        <v>884</v>
      </c>
      <c r="B219" t="s">
        <v>156</v>
      </c>
      <c r="C219" t="s">
        <v>2543</v>
      </c>
      <c r="D219" t="s">
        <v>2544</v>
      </c>
      <c r="E219" t="s">
        <v>2544</v>
      </c>
      <c r="F219" t="s">
        <v>1859</v>
      </c>
      <c r="G219" s="54">
        <v>46596</v>
      </c>
      <c r="H219" t="s">
        <v>1868</v>
      </c>
      <c r="I219" t="s">
        <v>1845</v>
      </c>
      <c r="J219" t="s">
        <v>1869</v>
      </c>
      <c r="K219" t="s">
        <v>2545</v>
      </c>
    </row>
    <row r="220" spans="1:11" x14ac:dyDescent="0.3">
      <c r="A220" t="s">
        <v>884</v>
      </c>
      <c r="B220" t="s">
        <v>156</v>
      </c>
      <c r="C220" t="s">
        <v>2546</v>
      </c>
      <c r="D220" t="s">
        <v>2547</v>
      </c>
      <c r="E220" t="s">
        <v>2547</v>
      </c>
      <c r="F220" t="s">
        <v>1859</v>
      </c>
      <c r="G220" s="54">
        <v>46596</v>
      </c>
      <c r="H220" t="s">
        <v>1868</v>
      </c>
      <c r="I220" t="s">
        <v>1845</v>
      </c>
      <c r="J220" t="s">
        <v>1869</v>
      </c>
      <c r="K220" t="s">
        <v>2548</v>
      </c>
    </row>
    <row r="221" spans="1:11" x14ac:dyDescent="0.3">
      <c r="A221" t="s">
        <v>884</v>
      </c>
      <c r="B221" t="s">
        <v>156</v>
      </c>
      <c r="C221" t="s">
        <v>2549</v>
      </c>
      <c r="D221" t="s">
        <v>2550</v>
      </c>
      <c r="E221" t="s">
        <v>2550</v>
      </c>
      <c r="F221" t="s">
        <v>1859</v>
      </c>
      <c r="G221" s="54">
        <v>46596</v>
      </c>
      <c r="H221" t="s">
        <v>1868</v>
      </c>
      <c r="I221" t="s">
        <v>1845</v>
      </c>
      <c r="J221" t="s">
        <v>1869</v>
      </c>
      <c r="K221" t="s">
        <v>2551</v>
      </c>
    </row>
    <row r="222" spans="1:11" x14ac:dyDescent="0.3">
      <c r="A222" t="s">
        <v>884</v>
      </c>
      <c r="B222" t="s">
        <v>175</v>
      </c>
      <c r="C222" t="s">
        <v>2552</v>
      </c>
      <c r="D222" t="s">
        <v>2553</v>
      </c>
      <c r="E222" t="s">
        <v>2554</v>
      </c>
      <c r="F222" t="s">
        <v>1859</v>
      </c>
      <c r="G222" s="54">
        <v>46602</v>
      </c>
      <c r="H222" t="s">
        <v>1868</v>
      </c>
      <c r="I222" t="s">
        <v>1845</v>
      </c>
      <c r="J222" t="s">
        <v>1869</v>
      </c>
      <c r="K222" t="s">
        <v>2555</v>
      </c>
    </row>
    <row r="223" spans="1:11" x14ac:dyDescent="0.3">
      <c r="A223" t="s">
        <v>884</v>
      </c>
      <c r="B223" t="s">
        <v>175</v>
      </c>
      <c r="C223" t="s">
        <v>2556</v>
      </c>
      <c r="D223" t="s">
        <v>2557</v>
      </c>
      <c r="E223" t="s">
        <v>2558</v>
      </c>
      <c r="F223" t="s">
        <v>1859</v>
      </c>
      <c r="G223" s="54">
        <v>46602</v>
      </c>
      <c r="H223" t="s">
        <v>1868</v>
      </c>
      <c r="I223" t="s">
        <v>1845</v>
      </c>
      <c r="J223" t="s">
        <v>1869</v>
      </c>
      <c r="K223" t="s">
        <v>2559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6BBF-4BF5-42E9-B7A0-520E830F0DDD}">
  <sheetPr>
    <tabColor theme="1"/>
  </sheetPr>
  <dimension ref="A1:S705"/>
  <sheetViews>
    <sheetView topLeftCell="C670" workbookViewId="0">
      <selection activeCell="J685" sqref="J685"/>
    </sheetView>
  </sheetViews>
  <sheetFormatPr defaultRowHeight="14.4" x14ac:dyDescent="0.3"/>
  <cols>
    <col min="1" max="1" width="12.44140625" bestFit="1" customWidth="1"/>
    <col min="2" max="2" width="51.109375" bestFit="1" customWidth="1"/>
    <col min="3" max="3" width="33.77734375" bestFit="1" customWidth="1"/>
    <col min="4" max="4" width="11.109375" bestFit="1" customWidth="1"/>
    <col min="5" max="5" width="23.33203125" bestFit="1" customWidth="1"/>
    <col min="6" max="6" width="16.109375" bestFit="1" customWidth="1"/>
    <col min="7" max="7" width="6.88671875" bestFit="1" customWidth="1"/>
    <col min="8" max="8" width="7.77734375" bestFit="1" customWidth="1"/>
    <col min="9" max="9" width="13" bestFit="1" customWidth="1"/>
    <col min="10" max="10" width="27.44140625" bestFit="1" customWidth="1"/>
    <col min="11" max="11" width="9" bestFit="1" customWidth="1"/>
    <col min="12" max="12" width="11" bestFit="1" customWidth="1"/>
    <col min="13" max="13" width="9.109375" bestFit="1" customWidth="1"/>
    <col min="14" max="14" width="21.5546875" bestFit="1" customWidth="1"/>
    <col min="15" max="15" width="24" bestFit="1" customWidth="1"/>
    <col min="16" max="16" width="15.33203125" bestFit="1" customWidth="1"/>
    <col min="17" max="17" width="14.33203125" bestFit="1" customWidth="1"/>
    <col min="18" max="18" width="20.5546875" bestFit="1" customWidth="1"/>
    <col min="19" max="19" width="17.109375" bestFit="1" customWidth="1"/>
  </cols>
  <sheetData>
    <row r="1" spans="1:19" x14ac:dyDescent="0.3">
      <c r="A1" t="s">
        <v>2560</v>
      </c>
      <c r="B1" t="s">
        <v>2561</v>
      </c>
      <c r="C1" t="s">
        <v>2562</v>
      </c>
      <c r="D1" t="s">
        <v>2563</v>
      </c>
      <c r="E1" t="s">
        <v>2564</v>
      </c>
      <c r="F1" t="s">
        <v>2565</v>
      </c>
      <c r="G1" t="s">
        <v>2566</v>
      </c>
      <c r="H1" t="s">
        <v>2567</v>
      </c>
      <c r="I1" t="s">
        <v>2568</v>
      </c>
      <c r="J1" t="s">
        <v>2569</v>
      </c>
      <c r="K1" t="s">
        <v>145</v>
      </c>
      <c r="L1" t="s">
        <v>146</v>
      </c>
      <c r="M1" t="s">
        <v>2570</v>
      </c>
      <c r="N1" t="s">
        <v>2571</v>
      </c>
      <c r="O1" t="s">
        <v>2572</v>
      </c>
      <c r="P1" t="s">
        <v>2573</v>
      </c>
      <c r="Q1" t="s">
        <v>2574</v>
      </c>
      <c r="R1" t="s">
        <v>2575</v>
      </c>
      <c r="S1" t="s">
        <v>2576</v>
      </c>
    </row>
    <row r="2" spans="1:19" x14ac:dyDescent="0.3">
      <c r="A2" t="s">
        <v>884</v>
      </c>
      <c r="B2" t="s">
        <v>2577</v>
      </c>
      <c r="C2" t="s">
        <v>2578</v>
      </c>
      <c r="D2" t="s">
        <v>2579</v>
      </c>
      <c r="E2" t="s">
        <v>2580</v>
      </c>
      <c r="F2" t="s">
        <v>2581</v>
      </c>
      <c r="G2" t="s">
        <v>2582</v>
      </c>
      <c r="H2" t="s">
        <v>2583</v>
      </c>
      <c r="I2" t="s">
        <v>2584</v>
      </c>
      <c r="J2" t="s">
        <v>2585</v>
      </c>
      <c r="K2">
        <v>16152666</v>
      </c>
      <c r="L2">
        <v>2030784543</v>
      </c>
      <c r="M2" t="s">
        <v>161</v>
      </c>
      <c r="N2" s="54">
        <v>45834.675057870372</v>
      </c>
      <c r="O2" s="54">
        <v>45926</v>
      </c>
      <c r="P2" s="54"/>
      <c r="Q2" t="s">
        <v>2586</v>
      </c>
      <c r="R2" t="s">
        <v>2587</v>
      </c>
      <c r="S2">
        <v>67</v>
      </c>
    </row>
    <row r="3" spans="1:19" x14ac:dyDescent="0.3">
      <c r="A3" t="s">
        <v>884</v>
      </c>
      <c r="B3" t="s">
        <v>2588</v>
      </c>
      <c r="C3" t="s">
        <v>2578</v>
      </c>
      <c r="D3" t="s">
        <v>2579</v>
      </c>
      <c r="E3" t="s">
        <v>2589</v>
      </c>
      <c r="F3" t="s">
        <v>2590</v>
      </c>
      <c r="G3" t="s">
        <v>2582</v>
      </c>
      <c r="H3" t="s">
        <v>2591</v>
      </c>
      <c r="I3" t="s">
        <v>2592</v>
      </c>
      <c r="J3" t="s">
        <v>2593</v>
      </c>
      <c r="K3">
        <v>16161930</v>
      </c>
      <c r="L3">
        <v>2030739819</v>
      </c>
      <c r="M3" t="s">
        <v>161</v>
      </c>
      <c r="N3" s="54">
        <v>45842.672002314815</v>
      </c>
      <c r="O3" s="54">
        <v>45901</v>
      </c>
      <c r="P3" s="54"/>
      <c r="Q3" t="s">
        <v>2586</v>
      </c>
      <c r="R3" t="s">
        <v>2587</v>
      </c>
      <c r="S3">
        <v>59</v>
      </c>
    </row>
    <row r="4" spans="1:19" x14ac:dyDescent="0.3">
      <c r="A4" t="s">
        <v>884</v>
      </c>
      <c r="B4" t="s">
        <v>2594</v>
      </c>
      <c r="C4" t="s">
        <v>2595</v>
      </c>
      <c r="D4" t="s">
        <v>2596</v>
      </c>
      <c r="E4" t="s">
        <v>2597</v>
      </c>
      <c r="F4" t="s">
        <v>2598</v>
      </c>
      <c r="G4" t="s">
        <v>2582</v>
      </c>
      <c r="H4" t="s">
        <v>2583</v>
      </c>
      <c r="I4" t="s">
        <v>2584</v>
      </c>
      <c r="J4" t="s">
        <v>2599</v>
      </c>
      <c r="K4">
        <v>16189061</v>
      </c>
      <c r="L4">
        <v>2030821940</v>
      </c>
      <c r="M4" t="s">
        <v>161</v>
      </c>
      <c r="N4" s="54">
        <v>45890.667638888888</v>
      </c>
      <c r="O4" s="54">
        <v>45898</v>
      </c>
      <c r="P4" s="54">
        <v>45901</v>
      </c>
      <c r="Q4" t="s">
        <v>2574</v>
      </c>
      <c r="R4" t="s">
        <v>2600</v>
      </c>
      <c r="S4">
        <v>11</v>
      </c>
    </row>
    <row r="5" spans="1:19" x14ac:dyDescent="0.3">
      <c r="A5" t="s">
        <v>884</v>
      </c>
      <c r="B5" t="s">
        <v>2601</v>
      </c>
      <c r="C5" t="s">
        <v>2578</v>
      </c>
      <c r="D5" t="s">
        <v>2596</v>
      </c>
      <c r="E5" t="s">
        <v>2602</v>
      </c>
      <c r="F5" t="s">
        <v>2598</v>
      </c>
      <c r="G5" t="s">
        <v>2582</v>
      </c>
      <c r="H5" t="s">
        <v>2603</v>
      </c>
      <c r="I5" t="s">
        <v>2603</v>
      </c>
      <c r="J5" t="s">
        <v>2604</v>
      </c>
      <c r="K5">
        <v>16262195</v>
      </c>
      <c r="L5">
        <v>2030947964</v>
      </c>
      <c r="M5" t="s">
        <v>161</v>
      </c>
      <c r="N5" s="54">
        <v>45897.65042824074</v>
      </c>
      <c r="O5" s="54">
        <v>45983</v>
      </c>
      <c r="P5" s="54">
        <v>45902</v>
      </c>
      <c r="Q5" t="s">
        <v>2574</v>
      </c>
      <c r="R5" t="s">
        <v>2600</v>
      </c>
      <c r="S5">
        <v>4</v>
      </c>
    </row>
    <row r="6" spans="1:19" x14ac:dyDescent="0.3">
      <c r="A6" t="s">
        <v>884</v>
      </c>
      <c r="B6" t="s">
        <v>2605</v>
      </c>
      <c r="C6" t="s">
        <v>2578</v>
      </c>
      <c r="D6" t="s">
        <v>2579</v>
      </c>
      <c r="E6" t="s">
        <v>2606</v>
      </c>
      <c r="F6" t="s">
        <v>2581</v>
      </c>
      <c r="G6" t="s">
        <v>2607</v>
      </c>
      <c r="H6" t="s">
        <v>2583</v>
      </c>
      <c r="I6" t="s">
        <v>2584</v>
      </c>
      <c r="J6" t="s">
        <v>2585</v>
      </c>
      <c r="K6">
        <v>16241155</v>
      </c>
      <c r="L6">
        <v>2030935688</v>
      </c>
      <c r="M6" t="s">
        <v>161</v>
      </c>
      <c r="N6" s="54">
        <v>45870.734756944446</v>
      </c>
      <c r="O6" s="54">
        <v>45972</v>
      </c>
      <c r="P6" s="54">
        <v>45901</v>
      </c>
      <c r="Q6" t="s">
        <v>2574</v>
      </c>
      <c r="R6" t="s">
        <v>2608</v>
      </c>
      <c r="S6">
        <v>31</v>
      </c>
    </row>
    <row r="7" spans="1:19" x14ac:dyDescent="0.3">
      <c r="A7" t="s">
        <v>884</v>
      </c>
      <c r="B7" t="s">
        <v>2609</v>
      </c>
      <c r="C7" t="s">
        <v>2578</v>
      </c>
      <c r="D7" t="s">
        <v>2610</v>
      </c>
      <c r="E7" t="s">
        <v>2611</v>
      </c>
      <c r="F7" t="s">
        <v>2590</v>
      </c>
      <c r="G7" t="s">
        <v>161</v>
      </c>
      <c r="H7" t="s">
        <v>2603</v>
      </c>
      <c r="I7" t="s">
        <v>2603</v>
      </c>
      <c r="J7" t="s">
        <v>2612</v>
      </c>
      <c r="M7" t="s">
        <v>161</v>
      </c>
      <c r="N7" s="54">
        <v>45751.453009259261</v>
      </c>
      <c r="O7" s="54"/>
      <c r="P7" s="54"/>
      <c r="Q7" t="s">
        <v>2613</v>
      </c>
      <c r="R7" t="s">
        <v>161</v>
      </c>
    </row>
    <row r="8" spans="1:19" x14ac:dyDescent="0.3">
      <c r="A8" t="s">
        <v>884</v>
      </c>
      <c r="B8" t="s">
        <v>2609</v>
      </c>
      <c r="C8" t="s">
        <v>2578</v>
      </c>
      <c r="D8" t="s">
        <v>2610</v>
      </c>
      <c r="E8" t="s">
        <v>2614</v>
      </c>
      <c r="F8" t="s">
        <v>2590</v>
      </c>
      <c r="G8" t="s">
        <v>161</v>
      </c>
      <c r="H8" t="s">
        <v>2603</v>
      </c>
      <c r="I8" t="s">
        <v>2603</v>
      </c>
      <c r="J8" t="s">
        <v>2612</v>
      </c>
      <c r="M8" t="s">
        <v>161</v>
      </c>
      <c r="N8" s="54">
        <v>45028.755150462966</v>
      </c>
      <c r="O8" s="54"/>
      <c r="P8" s="54"/>
      <c r="Q8" t="s">
        <v>2613</v>
      </c>
      <c r="R8" t="s">
        <v>161</v>
      </c>
    </row>
    <row r="9" spans="1:19" x14ac:dyDescent="0.3">
      <c r="A9" t="s">
        <v>884</v>
      </c>
      <c r="B9" t="s">
        <v>2609</v>
      </c>
      <c r="C9" t="s">
        <v>2578</v>
      </c>
      <c r="D9" t="s">
        <v>2610</v>
      </c>
      <c r="E9" t="s">
        <v>2615</v>
      </c>
      <c r="F9" t="s">
        <v>2590</v>
      </c>
      <c r="G9" t="s">
        <v>161</v>
      </c>
      <c r="H9" t="s">
        <v>2603</v>
      </c>
      <c r="I9" t="s">
        <v>2603</v>
      </c>
      <c r="J9" t="s">
        <v>2612</v>
      </c>
      <c r="M9" t="s">
        <v>161</v>
      </c>
      <c r="N9" s="54">
        <v>45552.369074074071</v>
      </c>
      <c r="O9" s="54"/>
      <c r="P9" s="54"/>
      <c r="Q9" t="s">
        <v>2613</v>
      </c>
      <c r="R9" t="s">
        <v>161</v>
      </c>
    </row>
    <row r="10" spans="1:19" x14ac:dyDescent="0.3">
      <c r="A10" t="s">
        <v>884</v>
      </c>
      <c r="B10" t="s">
        <v>2609</v>
      </c>
      <c r="C10" t="s">
        <v>2578</v>
      </c>
      <c r="D10" t="s">
        <v>2610</v>
      </c>
      <c r="E10" t="s">
        <v>2616</v>
      </c>
      <c r="F10" t="s">
        <v>2590</v>
      </c>
      <c r="G10" t="s">
        <v>161</v>
      </c>
      <c r="H10" t="s">
        <v>2603</v>
      </c>
      <c r="I10" t="s">
        <v>2603</v>
      </c>
      <c r="J10" t="s">
        <v>2612</v>
      </c>
      <c r="M10" t="s">
        <v>161</v>
      </c>
      <c r="N10" s="54">
        <v>45373.657025462962</v>
      </c>
      <c r="O10" s="54"/>
      <c r="P10" s="54"/>
      <c r="Q10" t="s">
        <v>2613</v>
      </c>
      <c r="R10" t="s">
        <v>161</v>
      </c>
    </row>
    <row r="11" spans="1:19" x14ac:dyDescent="0.3">
      <c r="A11" t="s">
        <v>884</v>
      </c>
      <c r="B11" t="s">
        <v>2609</v>
      </c>
      <c r="C11" t="s">
        <v>2578</v>
      </c>
      <c r="D11" t="s">
        <v>2610</v>
      </c>
      <c r="E11" t="s">
        <v>2617</v>
      </c>
      <c r="F11" t="s">
        <v>2590</v>
      </c>
      <c r="G11" t="s">
        <v>161</v>
      </c>
      <c r="H11" t="s">
        <v>2603</v>
      </c>
      <c r="I11" t="s">
        <v>2603</v>
      </c>
      <c r="J11" t="s">
        <v>2612</v>
      </c>
      <c r="M11" t="s">
        <v>161</v>
      </c>
      <c r="N11" s="54">
        <v>45751.35900462963</v>
      </c>
      <c r="O11" s="54"/>
      <c r="P11" s="54"/>
      <c r="Q11" t="s">
        <v>2613</v>
      </c>
      <c r="R11" t="s">
        <v>161</v>
      </c>
    </row>
    <row r="12" spans="1:19" x14ac:dyDescent="0.3">
      <c r="A12" t="s">
        <v>884</v>
      </c>
      <c r="B12" t="s">
        <v>2618</v>
      </c>
      <c r="C12" t="s">
        <v>2578</v>
      </c>
      <c r="D12" t="s">
        <v>2610</v>
      </c>
      <c r="E12" t="s">
        <v>2619</v>
      </c>
      <c r="F12" t="s">
        <v>2590</v>
      </c>
      <c r="G12" t="s">
        <v>161</v>
      </c>
      <c r="H12" t="s">
        <v>2603</v>
      </c>
      <c r="I12" t="s">
        <v>2603</v>
      </c>
      <c r="J12" t="s">
        <v>2612</v>
      </c>
      <c r="M12" t="s">
        <v>161</v>
      </c>
      <c r="N12" s="54">
        <v>45028.755729166667</v>
      </c>
      <c r="O12" s="54"/>
      <c r="P12" s="54"/>
      <c r="Q12" t="s">
        <v>2613</v>
      </c>
      <c r="R12" t="s">
        <v>161</v>
      </c>
    </row>
    <row r="13" spans="1:19" x14ac:dyDescent="0.3">
      <c r="A13" t="s">
        <v>884</v>
      </c>
      <c r="B13" t="s">
        <v>2618</v>
      </c>
      <c r="C13" t="s">
        <v>2578</v>
      </c>
      <c r="D13" t="s">
        <v>2610</v>
      </c>
      <c r="E13" t="s">
        <v>2620</v>
      </c>
      <c r="F13" t="s">
        <v>2590</v>
      </c>
      <c r="G13" t="s">
        <v>161</v>
      </c>
      <c r="H13" t="s">
        <v>2603</v>
      </c>
      <c r="I13" t="s">
        <v>2603</v>
      </c>
      <c r="J13" t="s">
        <v>2612</v>
      </c>
      <c r="M13" t="s">
        <v>161</v>
      </c>
      <c r="N13" s="54">
        <v>45028.75582175926</v>
      </c>
      <c r="O13" s="54"/>
      <c r="P13" s="54"/>
      <c r="Q13" t="s">
        <v>2613</v>
      </c>
      <c r="R13" t="s">
        <v>161</v>
      </c>
    </row>
    <row r="14" spans="1:19" x14ac:dyDescent="0.3">
      <c r="A14" t="s">
        <v>884</v>
      </c>
      <c r="B14" t="s">
        <v>2621</v>
      </c>
      <c r="C14" t="s">
        <v>2578</v>
      </c>
      <c r="D14" t="s">
        <v>2610</v>
      </c>
      <c r="E14" t="s">
        <v>2622</v>
      </c>
      <c r="F14" t="s">
        <v>2590</v>
      </c>
      <c r="G14" t="s">
        <v>161</v>
      </c>
      <c r="H14" t="s">
        <v>2603</v>
      </c>
      <c r="I14" t="s">
        <v>2603</v>
      </c>
      <c r="J14" t="s">
        <v>2612</v>
      </c>
      <c r="M14" t="s">
        <v>161</v>
      </c>
      <c r="N14" s="54">
        <v>45028.756388888891</v>
      </c>
      <c r="O14" s="54"/>
      <c r="P14" s="54"/>
      <c r="Q14" t="s">
        <v>2613</v>
      </c>
      <c r="R14" t="s">
        <v>161</v>
      </c>
    </row>
    <row r="15" spans="1:19" x14ac:dyDescent="0.3">
      <c r="A15" t="s">
        <v>884</v>
      </c>
      <c r="B15" t="s">
        <v>2621</v>
      </c>
      <c r="C15" t="s">
        <v>2578</v>
      </c>
      <c r="D15" t="s">
        <v>2610</v>
      </c>
      <c r="E15" t="s">
        <v>2623</v>
      </c>
      <c r="F15" t="s">
        <v>2590</v>
      </c>
      <c r="G15" t="s">
        <v>161</v>
      </c>
      <c r="H15" t="s">
        <v>2603</v>
      </c>
      <c r="I15" t="s">
        <v>2603</v>
      </c>
      <c r="J15" t="s">
        <v>2612</v>
      </c>
      <c r="M15" t="s">
        <v>161</v>
      </c>
      <c r="N15" s="54">
        <v>45028.756481481483</v>
      </c>
      <c r="O15" s="54"/>
      <c r="P15" s="54"/>
      <c r="Q15" t="s">
        <v>2613</v>
      </c>
      <c r="R15" t="s">
        <v>161</v>
      </c>
    </row>
    <row r="16" spans="1:19" x14ac:dyDescent="0.3">
      <c r="A16" t="s">
        <v>884</v>
      </c>
      <c r="B16" t="s">
        <v>2621</v>
      </c>
      <c r="C16" t="s">
        <v>2578</v>
      </c>
      <c r="D16" t="s">
        <v>2610</v>
      </c>
      <c r="E16" t="s">
        <v>2624</v>
      </c>
      <c r="F16" t="s">
        <v>2590</v>
      </c>
      <c r="G16" t="s">
        <v>161</v>
      </c>
      <c r="H16" t="s">
        <v>2603</v>
      </c>
      <c r="I16" t="s">
        <v>2603</v>
      </c>
      <c r="J16" t="s">
        <v>2612</v>
      </c>
      <c r="M16" t="s">
        <v>161</v>
      </c>
      <c r="N16" s="54">
        <v>45028.756585648145</v>
      </c>
      <c r="O16" s="54"/>
      <c r="P16" s="54"/>
      <c r="Q16" t="s">
        <v>2613</v>
      </c>
      <c r="R16" t="s">
        <v>161</v>
      </c>
    </row>
    <row r="17" spans="1:18" x14ac:dyDescent="0.3">
      <c r="A17" t="s">
        <v>884</v>
      </c>
      <c r="B17" t="s">
        <v>2621</v>
      </c>
      <c r="C17" t="s">
        <v>2578</v>
      </c>
      <c r="D17" t="s">
        <v>2610</v>
      </c>
      <c r="E17" t="s">
        <v>2625</v>
      </c>
      <c r="F17" t="s">
        <v>2590</v>
      </c>
      <c r="G17" t="s">
        <v>161</v>
      </c>
      <c r="H17" t="s">
        <v>2603</v>
      </c>
      <c r="I17" t="s">
        <v>2603</v>
      </c>
      <c r="J17" t="s">
        <v>2612</v>
      </c>
      <c r="M17" t="s">
        <v>161</v>
      </c>
      <c r="N17" s="54">
        <v>45028.756712962961</v>
      </c>
      <c r="O17" s="54"/>
      <c r="P17" s="54"/>
      <c r="Q17" t="s">
        <v>2613</v>
      </c>
      <c r="R17" t="s">
        <v>161</v>
      </c>
    </row>
    <row r="18" spans="1:18" x14ac:dyDescent="0.3">
      <c r="A18" t="s">
        <v>884</v>
      </c>
      <c r="B18" t="s">
        <v>2621</v>
      </c>
      <c r="C18" t="s">
        <v>2578</v>
      </c>
      <c r="D18" t="s">
        <v>2610</v>
      </c>
      <c r="E18" t="s">
        <v>2626</v>
      </c>
      <c r="F18" t="s">
        <v>2590</v>
      </c>
      <c r="G18" t="s">
        <v>161</v>
      </c>
      <c r="H18" t="s">
        <v>2603</v>
      </c>
      <c r="I18" t="s">
        <v>2603</v>
      </c>
      <c r="J18" t="s">
        <v>2612</v>
      </c>
      <c r="M18" t="s">
        <v>161</v>
      </c>
      <c r="N18" s="54">
        <v>45028.75681712963</v>
      </c>
      <c r="O18" s="54"/>
      <c r="P18" s="54"/>
      <c r="Q18" t="s">
        <v>2613</v>
      </c>
      <c r="R18" t="s">
        <v>161</v>
      </c>
    </row>
    <row r="19" spans="1:18" x14ac:dyDescent="0.3">
      <c r="A19" t="s">
        <v>884</v>
      </c>
      <c r="B19" t="s">
        <v>2621</v>
      </c>
      <c r="C19" t="s">
        <v>2578</v>
      </c>
      <c r="D19" t="s">
        <v>2610</v>
      </c>
      <c r="E19" t="s">
        <v>2627</v>
      </c>
      <c r="F19" t="s">
        <v>2590</v>
      </c>
      <c r="G19" t="s">
        <v>161</v>
      </c>
      <c r="H19" t="s">
        <v>2603</v>
      </c>
      <c r="I19" t="s">
        <v>2603</v>
      </c>
      <c r="J19" t="s">
        <v>2612</v>
      </c>
      <c r="M19" t="s">
        <v>161</v>
      </c>
      <c r="N19" s="54">
        <v>45028.756909722222</v>
      </c>
      <c r="O19" s="54"/>
      <c r="P19" s="54"/>
      <c r="Q19" t="s">
        <v>2613</v>
      </c>
      <c r="R19" t="s">
        <v>161</v>
      </c>
    </row>
    <row r="20" spans="1:18" x14ac:dyDescent="0.3">
      <c r="A20" t="s">
        <v>884</v>
      </c>
      <c r="B20" t="s">
        <v>2628</v>
      </c>
      <c r="C20" t="s">
        <v>2578</v>
      </c>
      <c r="D20" t="s">
        <v>2610</v>
      </c>
      <c r="E20" t="s">
        <v>2629</v>
      </c>
      <c r="F20" t="s">
        <v>2590</v>
      </c>
      <c r="G20" t="s">
        <v>161</v>
      </c>
      <c r="H20" t="s">
        <v>2603</v>
      </c>
      <c r="I20" t="s">
        <v>2603</v>
      </c>
      <c r="J20" t="s">
        <v>2612</v>
      </c>
      <c r="M20" t="s">
        <v>161</v>
      </c>
      <c r="N20" s="54">
        <v>45028.757199074076</v>
      </c>
      <c r="O20" s="54"/>
      <c r="P20" s="54"/>
      <c r="Q20" t="s">
        <v>2613</v>
      </c>
      <c r="R20" t="s">
        <v>161</v>
      </c>
    </row>
    <row r="21" spans="1:18" x14ac:dyDescent="0.3">
      <c r="A21" t="s">
        <v>884</v>
      </c>
      <c r="B21" t="s">
        <v>2630</v>
      </c>
      <c r="C21" t="s">
        <v>2578</v>
      </c>
      <c r="D21" t="s">
        <v>2610</v>
      </c>
      <c r="E21" t="s">
        <v>2631</v>
      </c>
      <c r="F21" t="s">
        <v>2590</v>
      </c>
      <c r="G21" t="s">
        <v>161</v>
      </c>
      <c r="H21" t="s">
        <v>2603</v>
      </c>
      <c r="I21" t="s">
        <v>2603</v>
      </c>
      <c r="J21" t="s">
        <v>2612</v>
      </c>
      <c r="M21" t="s">
        <v>161</v>
      </c>
      <c r="N21" s="54">
        <v>45028.757476851853</v>
      </c>
      <c r="O21" s="54"/>
      <c r="P21" s="54"/>
      <c r="Q21" t="s">
        <v>2613</v>
      </c>
      <c r="R21" t="s">
        <v>161</v>
      </c>
    </row>
    <row r="22" spans="1:18" x14ac:dyDescent="0.3">
      <c r="A22" t="s">
        <v>884</v>
      </c>
      <c r="B22" t="s">
        <v>2632</v>
      </c>
      <c r="C22" t="s">
        <v>2578</v>
      </c>
      <c r="D22" t="s">
        <v>2610</v>
      </c>
      <c r="E22" t="s">
        <v>2633</v>
      </c>
      <c r="F22" t="s">
        <v>2590</v>
      </c>
      <c r="G22" t="s">
        <v>161</v>
      </c>
      <c r="H22" t="s">
        <v>2603</v>
      </c>
      <c r="I22" t="s">
        <v>2603</v>
      </c>
      <c r="J22" t="s">
        <v>2612</v>
      </c>
      <c r="M22" t="s">
        <v>161</v>
      </c>
      <c r="N22" s="54">
        <v>45748.474768518521</v>
      </c>
      <c r="O22" s="54"/>
      <c r="P22" s="54"/>
      <c r="Q22" t="s">
        <v>2613</v>
      </c>
      <c r="R22" t="s">
        <v>161</v>
      </c>
    </row>
    <row r="23" spans="1:18" x14ac:dyDescent="0.3">
      <c r="A23" t="s">
        <v>884</v>
      </c>
      <c r="B23" t="s">
        <v>2632</v>
      </c>
      <c r="C23" t="s">
        <v>2578</v>
      </c>
      <c r="D23" t="s">
        <v>2610</v>
      </c>
      <c r="E23" t="s">
        <v>2634</v>
      </c>
      <c r="F23" t="s">
        <v>2590</v>
      </c>
      <c r="G23" t="s">
        <v>161</v>
      </c>
      <c r="H23" t="s">
        <v>2603</v>
      </c>
      <c r="I23" t="s">
        <v>2603</v>
      </c>
      <c r="J23" t="s">
        <v>2612</v>
      </c>
      <c r="M23" t="s">
        <v>161</v>
      </c>
      <c r="N23" s="54">
        <v>45028.757905092592</v>
      </c>
      <c r="O23" s="54"/>
      <c r="P23" s="54"/>
      <c r="Q23" t="s">
        <v>2613</v>
      </c>
      <c r="R23" t="s">
        <v>161</v>
      </c>
    </row>
    <row r="24" spans="1:18" x14ac:dyDescent="0.3">
      <c r="A24" t="s">
        <v>884</v>
      </c>
      <c r="B24" t="s">
        <v>2635</v>
      </c>
      <c r="C24" t="s">
        <v>2578</v>
      </c>
      <c r="D24" t="s">
        <v>2610</v>
      </c>
      <c r="E24" t="s">
        <v>2636</v>
      </c>
      <c r="F24" t="s">
        <v>2590</v>
      </c>
      <c r="G24" t="s">
        <v>161</v>
      </c>
      <c r="H24" t="s">
        <v>2603</v>
      </c>
      <c r="I24" t="s">
        <v>2603</v>
      </c>
      <c r="J24" t="s">
        <v>2612</v>
      </c>
      <c r="M24" t="s">
        <v>161</v>
      </c>
      <c r="N24" s="54">
        <v>45028.758263888885</v>
      </c>
      <c r="O24" s="54"/>
      <c r="P24" s="54"/>
      <c r="Q24" t="s">
        <v>2613</v>
      </c>
      <c r="R24" t="s">
        <v>161</v>
      </c>
    </row>
    <row r="25" spans="1:18" x14ac:dyDescent="0.3">
      <c r="A25" t="s">
        <v>884</v>
      </c>
      <c r="B25" t="s">
        <v>2635</v>
      </c>
      <c r="C25" t="s">
        <v>2578</v>
      </c>
      <c r="D25" t="s">
        <v>2610</v>
      </c>
      <c r="E25" t="s">
        <v>2637</v>
      </c>
      <c r="F25" t="s">
        <v>2590</v>
      </c>
      <c r="G25" t="s">
        <v>161</v>
      </c>
      <c r="H25" t="s">
        <v>2603</v>
      </c>
      <c r="I25" t="s">
        <v>2603</v>
      </c>
      <c r="J25" t="s">
        <v>2612</v>
      </c>
      <c r="M25" t="s">
        <v>161</v>
      </c>
      <c r="N25" s="54">
        <v>45028.758368055554</v>
      </c>
      <c r="O25" s="54"/>
      <c r="P25" s="54"/>
      <c r="Q25" t="s">
        <v>2613</v>
      </c>
      <c r="R25" t="s">
        <v>161</v>
      </c>
    </row>
    <row r="26" spans="1:18" x14ac:dyDescent="0.3">
      <c r="A26" t="s">
        <v>884</v>
      </c>
      <c r="B26" t="s">
        <v>2635</v>
      </c>
      <c r="C26" t="s">
        <v>2578</v>
      </c>
      <c r="D26" t="s">
        <v>2610</v>
      </c>
      <c r="E26" t="s">
        <v>2638</v>
      </c>
      <c r="F26" t="s">
        <v>2590</v>
      </c>
      <c r="G26" t="s">
        <v>161</v>
      </c>
      <c r="H26" t="s">
        <v>2603</v>
      </c>
      <c r="I26" t="s">
        <v>2603</v>
      </c>
      <c r="J26" t="s">
        <v>2612</v>
      </c>
      <c r="M26" t="s">
        <v>161</v>
      </c>
      <c r="N26" s="54">
        <v>45733.34783564815</v>
      </c>
      <c r="O26" s="54"/>
      <c r="P26" s="54"/>
      <c r="Q26" t="s">
        <v>2613</v>
      </c>
      <c r="R26" t="s">
        <v>161</v>
      </c>
    </row>
    <row r="27" spans="1:18" x14ac:dyDescent="0.3">
      <c r="A27" t="s">
        <v>884</v>
      </c>
      <c r="B27" t="s">
        <v>2635</v>
      </c>
      <c r="C27" t="s">
        <v>2578</v>
      </c>
      <c r="D27" t="s">
        <v>2610</v>
      </c>
      <c r="E27" t="s">
        <v>2639</v>
      </c>
      <c r="F27" t="s">
        <v>2590</v>
      </c>
      <c r="G27" t="s">
        <v>161</v>
      </c>
      <c r="H27" t="s">
        <v>2603</v>
      </c>
      <c r="I27" t="s">
        <v>2603</v>
      </c>
      <c r="J27" t="s">
        <v>2612</v>
      </c>
      <c r="M27" t="s">
        <v>161</v>
      </c>
      <c r="N27" s="54">
        <v>45351.38484953704</v>
      </c>
      <c r="O27" s="54"/>
      <c r="P27" s="54"/>
      <c r="Q27" t="s">
        <v>2613</v>
      </c>
      <c r="R27" t="s">
        <v>161</v>
      </c>
    </row>
    <row r="28" spans="1:18" x14ac:dyDescent="0.3">
      <c r="A28" t="s">
        <v>884</v>
      </c>
      <c r="B28" t="s">
        <v>2640</v>
      </c>
      <c r="C28" t="s">
        <v>2578</v>
      </c>
      <c r="D28" t="s">
        <v>2610</v>
      </c>
      <c r="E28" t="s">
        <v>2641</v>
      </c>
      <c r="F28" t="s">
        <v>2598</v>
      </c>
      <c r="G28" t="s">
        <v>161</v>
      </c>
      <c r="H28" t="s">
        <v>2603</v>
      </c>
      <c r="I28" t="s">
        <v>2603</v>
      </c>
      <c r="J28" t="s">
        <v>2612</v>
      </c>
      <c r="M28" t="s">
        <v>161</v>
      </c>
      <c r="N28" s="54">
        <v>45028.758946759262</v>
      </c>
      <c r="O28" s="54"/>
      <c r="P28" s="54"/>
      <c r="Q28" t="s">
        <v>2613</v>
      </c>
      <c r="R28" t="s">
        <v>161</v>
      </c>
    </row>
    <row r="29" spans="1:18" x14ac:dyDescent="0.3">
      <c r="A29" t="s">
        <v>884</v>
      </c>
      <c r="B29" t="s">
        <v>2640</v>
      </c>
      <c r="C29" t="s">
        <v>2578</v>
      </c>
      <c r="D29" t="s">
        <v>2610</v>
      </c>
      <c r="E29" t="s">
        <v>2642</v>
      </c>
      <c r="F29" t="s">
        <v>2598</v>
      </c>
      <c r="G29" t="s">
        <v>161</v>
      </c>
      <c r="H29" t="s">
        <v>2603</v>
      </c>
      <c r="I29" t="s">
        <v>2603</v>
      </c>
      <c r="J29" t="s">
        <v>2612</v>
      </c>
      <c r="M29" t="s">
        <v>161</v>
      </c>
      <c r="N29" s="54">
        <v>45028.759143518517</v>
      </c>
      <c r="O29" s="54"/>
      <c r="P29" s="54"/>
      <c r="Q29" t="s">
        <v>2613</v>
      </c>
      <c r="R29" t="s">
        <v>161</v>
      </c>
    </row>
    <row r="30" spans="1:18" x14ac:dyDescent="0.3">
      <c r="A30" t="s">
        <v>884</v>
      </c>
      <c r="B30" t="s">
        <v>2643</v>
      </c>
      <c r="C30" t="s">
        <v>2578</v>
      </c>
      <c r="D30" t="s">
        <v>2610</v>
      </c>
      <c r="E30" t="s">
        <v>2644</v>
      </c>
      <c r="F30" t="s">
        <v>2598</v>
      </c>
      <c r="G30" t="s">
        <v>161</v>
      </c>
      <c r="H30" t="s">
        <v>2603</v>
      </c>
      <c r="I30" t="s">
        <v>2603</v>
      </c>
      <c r="J30" t="s">
        <v>2612</v>
      </c>
      <c r="M30" t="s">
        <v>161</v>
      </c>
      <c r="N30" s="54">
        <v>45387.334849537037</v>
      </c>
      <c r="O30" s="54"/>
      <c r="P30" s="54"/>
      <c r="Q30" t="s">
        <v>2613</v>
      </c>
      <c r="R30" t="s">
        <v>161</v>
      </c>
    </row>
    <row r="31" spans="1:18" x14ac:dyDescent="0.3">
      <c r="A31" t="s">
        <v>884</v>
      </c>
      <c r="B31" t="s">
        <v>2645</v>
      </c>
      <c r="C31" t="s">
        <v>2578</v>
      </c>
      <c r="D31" t="s">
        <v>2610</v>
      </c>
      <c r="E31" t="s">
        <v>2646</v>
      </c>
      <c r="F31" t="s">
        <v>2581</v>
      </c>
      <c r="G31" t="s">
        <v>161</v>
      </c>
      <c r="H31" t="s">
        <v>2603</v>
      </c>
      <c r="I31" t="s">
        <v>2603</v>
      </c>
      <c r="J31" t="s">
        <v>2612</v>
      </c>
      <c r="M31" t="s">
        <v>161</v>
      </c>
      <c r="N31" s="54">
        <v>45028.759768518517</v>
      </c>
      <c r="O31" s="54"/>
      <c r="P31" s="54"/>
      <c r="Q31" t="s">
        <v>2613</v>
      </c>
      <c r="R31" t="s">
        <v>161</v>
      </c>
    </row>
    <row r="32" spans="1:18" x14ac:dyDescent="0.3">
      <c r="A32" t="s">
        <v>884</v>
      </c>
      <c r="B32" t="s">
        <v>2647</v>
      </c>
      <c r="C32" t="s">
        <v>2578</v>
      </c>
      <c r="D32" t="s">
        <v>2610</v>
      </c>
      <c r="E32" t="s">
        <v>2648</v>
      </c>
      <c r="F32" t="s">
        <v>2590</v>
      </c>
      <c r="G32" t="s">
        <v>161</v>
      </c>
      <c r="H32" t="s">
        <v>2603</v>
      </c>
      <c r="I32" t="s">
        <v>2603</v>
      </c>
      <c r="J32" t="s">
        <v>2612</v>
      </c>
      <c r="M32" t="s">
        <v>161</v>
      </c>
      <c r="N32" s="54">
        <v>45028.76</v>
      </c>
      <c r="O32" s="54"/>
      <c r="P32" s="54"/>
      <c r="Q32" t="s">
        <v>2613</v>
      </c>
      <c r="R32" t="s">
        <v>161</v>
      </c>
    </row>
    <row r="33" spans="1:18" x14ac:dyDescent="0.3">
      <c r="A33" t="s">
        <v>884</v>
      </c>
      <c r="B33" t="s">
        <v>2647</v>
      </c>
      <c r="C33" t="s">
        <v>2578</v>
      </c>
      <c r="D33" t="s">
        <v>2610</v>
      </c>
      <c r="E33" t="s">
        <v>2649</v>
      </c>
      <c r="F33" t="s">
        <v>2590</v>
      </c>
      <c r="G33" t="s">
        <v>161</v>
      </c>
      <c r="H33" t="s">
        <v>2603</v>
      </c>
      <c r="I33" t="s">
        <v>2603</v>
      </c>
      <c r="J33" t="s">
        <v>2612</v>
      </c>
      <c r="M33" t="s">
        <v>161</v>
      </c>
      <c r="N33" s="54">
        <v>45028.760092592594</v>
      </c>
      <c r="O33" s="54"/>
      <c r="P33" s="54"/>
      <c r="Q33" t="s">
        <v>2613</v>
      </c>
      <c r="R33" t="s">
        <v>161</v>
      </c>
    </row>
    <row r="34" spans="1:18" x14ac:dyDescent="0.3">
      <c r="A34" t="s">
        <v>884</v>
      </c>
      <c r="B34" t="s">
        <v>2647</v>
      </c>
      <c r="C34" t="s">
        <v>2578</v>
      </c>
      <c r="D34" t="s">
        <v>2610</v>
      </c>
      <c r="E34" t="s">
        <v>2650</v>
      </c>
      <c r="F34" t="s">
        <v>2590</v>
      </c>
      <c r="G34" t="s">
        <v>161</v>
      </c>
      <c r="H34" t="s">
        <v>2603</v>
      </c>
      <c r="I34" t="s">
        <v>2603</v>
      </c>
      <c r="J34" t="s">
        <v>2612</v>
      </c>
      <c r="M34" t="s">
        <v>161</v>
      </c>
      <c r="N34" s="54">
        <v>45028.760185185187</v>
      </c>
      <c r="O34" s="54"/>
      <c r="P34" s="54"/>
      <c r="Q34" t="s">
        <v>2613</v>
      </c>
      <c r="R34" t="s">
        <v>161</v>
      </c>
    </row>
    <row r="35" spans="1:18" x14ac:dyDescent="0.3">
      <c r="A35" t="s">
        <v>884</v>
      </c>
      <c r="B35" t="s">
        <v>2647</v>
      </c>
      <c r="C35" t="s">
        <v>2578</v>
      </c>
      <c r="D35" t="s">
        <v>2610</v>
      </c>
      <c r="E35" t="s">
        <v>2651</v>
      </c>
      <c r="F35" t="s">
        <v>2590</v>
      </c>
      <c r="G35" t="s">
        <v>161</v>
      </c>
      <c r="H35" t="s">
        <v>2603</v>
      </c>
      <c r="I35" t="s">
        <v>2603</v>
      </c>
      <c r="J35" t="s">
        <v>2612</v>
      </c>
      <c r="M35" t="s">
        <v>161</v>
      </c>
      <c r="N35" s="54">
        <v>45177.347141203703</v>
      </c>
      <c r="O35" s="54"/>
      <c r="P35" s="54"/>
      <c r="Q35" t="s">
        <v>2613</v>
      </c>
      <c r="R35" t="s">
        <v>161</v>
      </c>
    </row>
    <row r="36" spans="1:18" x14ac:dyDescent="0.3">
      <c r="A36" t="s">
        <v>884</v>
      </c>
      <c r="B36" t="s">
        <v>2647</v>
      </c>
      <c r="C36" t="s">
        <v>2578</v>
      </c>
      <c r="D36" t="s">
        <v>2610</v>
      </c>
      <c r="E36" t="s">
        <v>2652</v>
      </c>
      <c r="F36" t="s">
        <v>2590</v>
      </c>
      <c r="G36" t="s">
        <v>161</v>
      </c>
      <c r="H36" t="s">
        <v>2603</v>
      </c>
      <c r="I36" t="s">
        <v>2603</v>
      </c>
      <c r="J36" t="s">
        <v>2612</v>
      </c>
      <c r="M36" t="s">
        <v>161</v>
      </c>
      <c r="N36" s="54">
        <v>45265.407870370371</v>
      </c>
      <c r="O36" s="54"/>
      <c r="P36" s="54"/>
      <c r="Q36" t="s">
        <v>2613</v>
      </c>
      <c r="R36" t="s">
        <v>161</v>
      </c>
    </row>
    <row r="37" spans="1:18" x14ac:dyDescent="0.3">
      <c r="A37" t="s">
        <v>884</v>
      </c>
      <c r="B37" t="s">
        <v>2653</v>
      </c>
      <c r="C37" t="s">
        <v>2578</v>
      </c>
      <c r="D37" t="s">
        <v>2610</v>
      </c>
      <c r="E37" t="s">
        <v>2654</v>
      </c>
      <c r="F37" t="s">
        <v>2581</v>
      </c>
      <c r="G37" t="s">
        <v>161</v>
      </c>
      <c r="H37" t="s">
        <v>2603</v>
      </c>
      <c r="I37" t="s">
        <v>2603</v>
      </c>
      <c r="J37" t="s">
        <v>2612</v>
      </c>
      <c r="M37" t="s">
        <v>161</v>
      </c>
      <c r="N37" s="54">
        <v>45028.760706018518</v>
      </c>
      <c r="O37" s="54"/>
      <c r="P37" s="54"/>
      <c r="Q37" t="s">
        <v>2613</v>
      </c>
      <c r="R37" t="s">
        <v>161</v>
      </c>
    </row>
    <row r="38" spans="1:18" x14ac:dyDescent="0.3">
      <c r="A38" t="s">
        <v>884</v>
      </c>
      <c r="B38" t="s">
        <v>2653</v>
      </c>
      <c r="C38" t="s">
        <v>2578</v>
      </c>
      <c r="D38" t="s">
        <v>2610</v>
      </c>
      <c r="E38" t="s">
        <v>2655</v>
      </c>
      <c r="F38" t="s">
        <v>2581</v>
      </c>
      <c r="G38" t="s">
        <v>161</v>
      </c>
      <c r="H38" t="s">
        <v>2603</v>
      </c>
      <c r="I38" t="s">
        <v>2603</v>
      </c>
      <c r="J38" t="s">
        <v>2612</v>
      </c>
      <c r="M38" t="s">
        <v>161</v>
      </c>
      <c r="N38" s="54">
        <v>45028.760891203703</v>
      </c>
      <c r="O38" s="54"/>
      <c r="P38" s="54"/>
      <c r="Q38" t="s">
        <v>2613</v>
      </c>
      <c r="R38" t="s">
        <v>161</v>
      </c>
    </row>
    <row r="39" spans="1:18" x14ac:dyDescent="0.3">
      <c r="A39" t="s">
        <v>884</v>
      </c>
      <c r="B39" t="s">
        <v>2653</v>
      </c>
      <c r="C39" t="s">
        <v>2578</v>
      </c>
      <c r="D39" t="s">
        <v>2610</v>
      </c>
      <c r="E39" t="s">
        <v>2656</v>
      </c>
      <c r="F39" t="s">
        <v>2581</v>
      </c>
      <c r="G39" t="s">
        <v>161</v>
      </c>
      <c r="H39" t="s">
        <v>2603</v>
      </c>
      <c r="I39" t="s">
        <v>2603</v>
      </c>
      <c r="J39" t="s">
        <v>2612</v>
      </c>
      <c r="M39" t="s">
        <v>161</v>
      </c>
      <c r="N39" s="54">
        <v>45378.655324074076</v>
      </c>
      <c r="O39" s="54"/>
      <c r="P39" s="54"/>
      <c r="Q39" t="s">
        <v>2613</v>
      </c>
      <c r="R39" t="s">
        <v>161</v>
      </c>
    </row>
    <row r="40" spans="1:18" x14ac:dyDescent="0.3">
      <c r="A40" t="s">
        <v>884</v>
      </c>
      <c r="B40" t="s">
        <v>2657</v>
      </c>
      <c r="C40" t="s">
        <v>2578</v>
      </c>
      <c r="D40" t="s">
        <v>2610</v>
      </c>
      <c r="E40" t="s">
        <v>2658</v>
      </c>
      <c r="F40" t="s">
        <v>2590</v>
      </c>
      <c r="G40" t="s">
        <v>161</v>
      </c>
      <c r="H40" t="s">
        <v>2603</v>
      </c>
      <c r="I40" t="s">
        <v>2603</v>
      </c>
      <c r="J40" t="s">
        <v>2612</v>
      </c>
      <c r="M40" t="s">
        <v>161</v>
      </c>
      <c r="N40" s="54">
        <v>45028.761261574073</v>
      </c>
      <c r="O40" s="54"/>
      <c r="P40" s="54"/>
      <c r="Q40" t="s">
        <v>2613</v>
      </c>
      <c r="R40" t="s">
        <v>161</v>
      </c>
    </row>
    <row r="41" spans="1:18" x14ac:dyDescent="0.3">
      <c r="A41" t="s">
        <v>884</v>
      </c>
      <c r="B41" t="s">
        <v>2657</v>
      </c>
      <c r="C41" t="s">
        <v>2578</v>
      </c>
      <c r="D41" t="s">
        <v>2610</v>
      </c>
      <c r="E41" t="s">
        <v>2659</v>
      </c>
      <c r="F41" t="s">
        <v>2590</v>
      </c>
      <c r="G41" t="s">
        <v>161</v>
      </c>
      <c r="H41" t="s">
        <v>2603</v>
      </c>
      <c r="I41" t="s">
        <v>2603</v>
      </c>
      <c r="J41" t="s">
        <v>2612</v>
      </c>
      <c r="M41" t="s">
        <v>161</v>
      </c>
      <c r="N41" s="54">
        <v>45028.761365740742</v>
      </c>
      <c r="O41" s="54"/>
      <c r="P41" s="54"/>
      <c r="Q41" t="s">
        <v>2613</v>
      </c>
      <c r="R41" t="s">
        <v>161</v>
      </c>
    </row>
    <row r="42" spans="1:18" x14ac:dyDescent="0.3">
      <c r="A42" t="s">
        <v>884</v>
      </c>
      <c r="B42" t="s">
        <v>2660</v>
      </c>
      <c r="C42" t="s">
        <v>2578</v>
      </c>
      <c r="D42" t="s">
        <v>2610</v>
      </c>
      <c r="E42" t="s">
        <v>2661</v>
      </c>
      <c r="F42" t="s">
        <v>2598</v>
      </c>
      <c r="G42" t="s">
        <v>161</v>
      </c>
      <c r="H42" t="s">
        <v>2603</v>
      </c>
      <c r="I42" t="s">
        <v>2603</v>
      </c>
      <c r="J42" t="s">
        <v>2612</v>
      </c>
      <c r="M42" t="s">
        <v>161</v>
      </c>
      <c r="N42" s="54">
        <v>45028.761620370373</v>
      </c>
      <c r="O42" s="54"/>
      <c r="P42" s="54"/>
      <c r="Q42" t="s">
        <v>2613</v>
      </c>
      <c r="R42" t="s">
        <v>161</v>
      </c>
    </row>
    <row r="43" spans="1:18" x14ac:dyDescent="0.3">
      <c r="A43" t="s">
        <v>884</v>
      </c>
      <c r="B43" t="s">
        <v>2662</v>
      </c>
      <c r="C43" t="s">
        <v>2578</v>
      </c>
      <c r="D43" t="s">
        <v>2610</v>
      </c>
      <c r="E43" t="s">
        <v>2663</v>
      </c>
      <c r="F43" t="s">
        <v>2590</v>
      </c>
      <c r="G43" t="s">
        <v>161</v>
      </c>
      <c r="H43" t="s">
        <v>2603</v>
      </c>
      <c r="I43" t="s">
        <v>2603</v>
      </c>
      <c r="J43" t="s">
        <v>2612</v>
      </c>
      <c r="M43" t="s">
        <v>161</v>
      </c>
      <c r="N43" s="54">
        <v>45028.762141203704</v>
      </c>
      <c r="O43" s="54"/>
      <c r="P43" s="54"/>
      <c r="Q43" t="s">
        <v>2613</v>
      </c>
      <c r="R43" t="s">
        <v>161</v>
      </c>
    </row>
    <row r="44" spans="1:18" x14ac:dyDescent="0.3">
      <c r="A44" t="s">
        <v>884</v>
      </c>
      <c r="B44" t="s">
        <v>2662</v>
      </c>
      <c r="C44" t="s">
        <v>2578</v>
      </c>
      <c r="D44" t="s">
        <v>2610</v>
      </c>
      <c r="E44" t="s">
        <v>2664</v>
      </c>
      <c r="F44" t="s">
        <v>2590</v>
      </c>
      <c r="G44" t="s">
        <v>161</v>
      </c>
      <c r="H44" t="s">
        <v>2603</v>
      </c>
      <c r="I44" t="s">
        <v>2603</v>
      </c>
      <c r="J44" t="s">
        <v>2612</v>
      </c>
      <c r="M44" t="s">
        <v>161</v>
      </c>
      <c r="N44" s="54">
        <v>45028.762256944443</v>
      </c>
      <c r="O44" s="54"/>
      <c r="P44" s="54"/>
      <c r="Q44" t="s">
        <v>2613</v>
      </c>
      <c r="R44" t="s">
        <v>161</v>
      </c>
    </row>
    <row r="45" spans="1:18" x14ac:dyDescent="0.3">
      <c r="A45" t="s">
        <v>884</v>
      </c>
      <c r="B45" t="s">
        <v>2662</v>
      </c>
      <c r="C45" t="s">
        <v>2578</v>
      </c>
      <c r="D45" t="s">
        <v>2610</v>
      </c>
      <c r="E45" t="s">
        <v>2665</v>
      </c>
      <c r="F45" t="s">
        <v>2590</v>
      </c>
      <c r="G45" t="s">
        <v>161</v>
      </c>
      <c r="H45" t="s">
        <v>2603</v>
      </c>
      <c r="I45" t="s">
        <v>2603</v>
      </c>
      <c r="J45" t="s">
        <v>2612</v>
      </c>
      <c r="M45" t="s">
        <v>161</v>
      </c>
      <c r="N45" s="54">
        <v>45028.762395833335</v>
      </c>
      <c r="O45" s="54"/>
      <c r="P45" s="54"/>
      <c r="Q45" t="s">
        <v>2613</v>
      </c>
      <c r="R45" t="s">
        <v>161</v>
      </c>
    </row>
    <row r="46" spans="1:18" x14ac:dyDescent="0.3">
      <c r="A46" t="s">
        <v>884</v>
      </c>
      <c r="B46" t="s">
        <v>2666</v>
      </c>
      <c r="C46" t="s">
        <v>2578</v>
      </c>
      <c r="D46" t="s">
        <v>2610</v>
      </c>
      <c r="E46" t="s">
        <v>2667</v>
      </c>
      <c r="F46" t="s">
        <v>2581</v>
      </c>
      <c r="G46" t="s">
        <v>161</v>
      </c>
      <c r="H46" t="s">
        <v>2603</v>
      </c>
      <c r="I46" t="s">
        <v>2603</v>
      </c>
      <c r="J46" t="s">
        <v>2612</v>
      </c>
      <c r="M46" t="s">
        <v>161</v>
      </c>
      <c r="N46" s="54">
        <v>45028.762789351851</v>
      </c>
      <c r="O46" s="54"/>
      <c r="P46" s="54"/>
      <c r="Q46" t="s">
        <v>2613</v>
      </c>
      <c r="R46" t="s">
        <v>161</v>
      </c>
    </row>
    <row r="47" spans="1:18" x14ac:dyDescent="0.3">
      <c r="A47" t="s">
        <v>884</v>
      </c>
      <c r="B47" t="s">
        <v>2666</v>
      </c>
      <c r="C47" t="s">
        <v>2578</v>
      </c>
      <c r="D47" t="s">
        <v>2610</v>
      </c>
      <c r="E47" t="s">
        <v>2668</v>
      </c>
      <c r="F47" t="s">
        <v>2581</v>
      </c>
      <c r="G47" t="s">
        <v>161</v>
      </c>
      <c r="H47" t="s">
        <v>2603</v>
      </c>
      <c r="I47" t="s">
        <v>2603</v>
      </c>
      <c r="J47" t="s">
        <v>2612</v>
      </c>
      <c r="M47" t="s">
        <v>161</v>
      </c>
      <c r="N47" s="54">
        <v>45028.762928240743</v>
      </c>
      <c r="O47" s="54"/>
      <c r="P47" s="54"/>
      <c r="Q47" t="s">
        <v>2613</v>
      </c>
      <c r="R47" t="s">
        <v>161</v>
      </c>
    </row>
    <row r="48" spans="1:18" x14ac:dyDescent="0.3">
      <c r="A48" t="s">
        <v>884</v>
      </c>
      <c r="B48" t="s">
        <v>2669</v>
      </c>
      <c r="C48" t="s">
        <v>2578</v>
      </c>
      <c r="D48" t="s">
        <v>2610</v>
      </c>
      <c r="E48" t="s">
        <v>2670</v>
      </c>
      <c r="F48" t="s">
        <v>2581</v>
      </c>
      <c r="G48" t="s">
        <v>161</v>
      </c>
      <c r="H48" t="s">
        <v>2603</v>
      </c>
      <c r="I48" t="s">
        <v>2603</v>
      </c>
      <c r="J48" t="s">
        <v>2612</v>
      </c>
      <c r="M48" t="s">
        <v>161</v>
      </c>
      <c r="N48" s="54">
        <v>45028.763252314813</v>
      </c>
      <c r="O48" s="54"/>
      <c r="P48" s="54"/>
      <c r="Q48" t="s">
        <v>2613</v>
      </c>
      <c r="R48" t="s">
        <v>161</v>
      </c>
    </row>
    <row r="49" spans="1:18" x14ac:dyDescent="0.3">
      <c r="A49" t="s">
        <v>884</v>
      </c>
      <c r="B49" t="s">
        <v>2671</v>
      </c>
      <c r="C49" t="s">
        <v>2578</v>
      </c>
      <c r="D49" t="s">
        <v>2610</v>
      </c>
      <c r="E49" t="s">
        <v>2672</v>
      </c>
      <c r="F49" t="s">
        <v>2590</v>
      </c>
      <c r="G49" t="s">
        <v>161</v>
      </c>
      <c r="H49" t="s">
        <v>2603</v>
      </c>
      <c r="I49" t="s">
        <v>2603</v>
      </c>
      <c r="J49" t="s">
        <v>2612</v>
      </c>
      <c r="M49" t="s">
        <v>161</v>
      </c>
      <c r="N49" s="54">
        <v>45517.659884259258</v>
      </c>
      <c r="O49" s="54"/>
      <c r="P49" s="54"/>
      <c r="Q49" t="s">
        <v>2613</v>
      </c>
      <c r="R49" t="s">
        <v>161</v>
      </c>
    </row>
    <row r="50" spans="1:18" x14ac:dyDescent="0.3">
      <c r="A50" t="s">
        <v>884</v>
      </c>
      <c r="B50" t="s">
        <v>2671</v>
      </c>
      <c r="C50" t="s">
        <v>2578</v>
      </c>
      <c r="D50" t="s">
        <v>2610</v>
      </c>
      <c r="E50" t="s">
        <v>2673</v>
      </c>
      <c r="F50" t="s">
        <v>2590</v>
      </c>
      <c r="G50" t="s">
        <v>161</v>
      </c>
      <c r="H50" t="s">
        <v>2603</v>
      </c>
      <c r="I50" t="s">
        <v>2603</v>
      </c>
      <c r="J50" t="s">
        <v>2612</v>
      </c>
      <c r="M50" t="s">
        <v>161</v>
      </c>
      <c r="N50" s="54">
        <v>45028.76358796296</v>
      </c>
      <c r="O50" s="54"/>
      <c r="P50" s="54"/>
      <c r="Q50" t="s">
        <v>2613</v>
      </c>
      <c r="R50" t="s">
        <v>161</v>
      </c>
    </row>
    <row r="51" spans="1:18" x14ac:dyDescent="0.3">
      <c r="A51" t="s">
        <v>884</v>
      </c>
      <c r="B51" t="s">
        <v>2674</v>
      </c>
      <c r="C51" t="s">
        <v>2578</v>
      </c>
      <c r="D51" t="s">
        <v>2610</v>
      </c>
      <c r="E51" t="s">
        <v>2675</v>
      </c>
      <c r="F51" t="s">
        <v>2590</v>
      </c>
      <c r="G51" t="s">
        <v>161</v>
      </c>
      <c r="H51" t="s">
        <v>2603</v>
      </c>
      <c r="I51" t="s">
        <v>2603</v>
      </c>
      <c r="J51" t="s">
        <v>2612</v>
      </c>
      <c r="M51" t="s">
        <v>161</v>
      </c>
      <c r="N51" s="54">
        <v>45028.763842592591</v>
      </c>
      <c r="O51" s="54"/>
      <c r="P51" s="54"/>
      <c r="Q51" t="s">
        <v>2613</v>
      </c>
      <c r="R51" t="s">
        <v>161</v>
      </c>
    </row>
    <row r="52" spans="1:18" x14ac:dyDescent="0.3">
      <c r="A52" t="s">
        <v>884</v>
      </c>
      <c r="B52" t="s">
        <v>2674</v>
      </c>
      <c r="C52" t="s">
        <v>2578</v>
      </c>
      <c r="D52" t="s">
        <v>2610</v>
      </c>
      <c r="E52" t="s">
        <v>2676</v>
      </c>
      <c r="F52" t="s">
        <v>2590</v>
      </c>
      <c r="G52" t="s">
        <v>161</v>
      </c>
      <c r="H52" t="s">
        <v>2603</v>
      </c>
      <c r="I52" t="s">
        <v>2603</v>
      </c>
      <c r="J52" t="s">
        <v>2612</v>
      </c>
      <c r="M52" t="s">
        <v>161</v>
      </c>
      <c r="N52" s="54">
        <v>45028.764004629629</v>
      </c>
      <c r="O52" s="54"/>
      <c r="P52" s="54"/>
      <c r="Q52" t="s">
        <v>2613</v>
      </c>
      <c r="R52" t="s">
        <v>161</v>
      </c>
    </row>
    <row r="53" spans="1:18" x14ac:dyDescent="0.3">
      <c r="A53" t="s">
        <v>884</v>
      </c>
      <c r="B53" t="s">
        <v>2674</v>
      </c>
      <c r="C53" t="s">
        <v>2578</v>
      </c>
      <c r="D53" t="s">
        <v>2610</v>
      </c>
      <c r="E53" t="s">
        <v>2677</v>
      </c>
      <c r="F53" t="s">
        <v>2590</v>
      </c>
      <c r="G53" t="s">
        <v>161</v>
      </c>
      <c r="H53" t="s">
        <v>2603</v>
      </c>
      <c r="I53" t="s">
        <v>2603</v>
      </c>
      <c r="J53" t="s">
        <v>2612</v>
      </c>
      <c r="M53" t="s">
        <v>161</v>
      </c>
      <c r="N53" s="54">
        <v>45028.764097222222</v>
      </c>
      <c r="O53" s="54"/>
      <c r="P53" s="54"/>
      <c r="Q53" t="s">
        <v>2613</v>
      </c>
      <c r="R53" t="s">
        <v>161</v>
      </c>
    </row>
    <row r="54" spans="1:18" x14ac:dyDescent="0.3">
      <c r="A54" t="s">
        <v>884</v>
      </c>
      <c r="B54" t="s">
        <v>2678</v>
      </c>
      <c r="C54" t="s">
        <v>2578</v>
      </c>
      <c r="D54" t="s">
        <v>2610</v>
      </c>
      <c r="E54" t="s">
        <v>2679</v>
      </c>
      <c r="F54" t="s">
        <v>2598</v>
      </c>
      <c r="G54" t="s">
        <v>161</v>
      </c>
      <c r="H54" t="s">
        <v>2603</v>
      </c>
      <c r="I54" t="s">
        <v>2603</v>
      </c>
      <c r="J54" t="s">
        <v>2604</v>
      </c>
      <c r="M54" t="s">
        <v>161</v>
      </c>
      <c r="N54" s="54">
        <v>45016.364108796297</v>
      </c>
      <c r="O54" s="54"/>
      <c r="P54" s="54"/>
      <c r="Q54" t="s">
        <v>2613</v>
      </c>
      <c r="R54" t="s">
        <v>161</v>
      </c>
    </row>
    <row r="55" spans="1:18" x14ac:dyDescent="0.3">
      <c r="A55" t="s">
        <v>884</v>
      </c>
      <c r="B55" t="s">
        <v>2678</v>
      </c>
      <c r="C55" t="s">
        <v>2578</v>
      </c>
      <c r="D55" t="s">
        <v>2610</v>
      </c>
      <c r="E55" t="s">
        <v>2680</v>
      </c>
      <c r="F55" t="s">
        <v>2598</v>
      </c>
      <c r="G55" t="s">
        <v>161</v>
      </c>
      <c r="H55" t="s">
        <v>2603</v>
      </c>
      <c r="I55" t="s">
        <v>2603</v>
      </c>
      <c r="J55" t="s">
        <v>2604</v>
      </c>
      <c r="M55" t="s">
        <v>161</v>
      </c>
      <c r="N55" s="54">
        <v>45016.364259259259</v>
      </c>
      <c r="O55" s="54"/>
      <c r="P55" s="54"/>
      <c r="Q55" t="s">
        <v>2613</v>
      </c>
      <c r="R55" t="s">
        <v>161</v>
      </c>
    </row>
    <row r="56" spans="1:18" x14ac:dyDescent="0.3">
      <c r="A56" t="s">
        <v>884</v>
      </c>
      <c r="B56" t="s">
        <v>2678</v>
      </c>
      <c r="C56" t="s">
        <v>2578</v>
      </c>
      <c r="D56" t="s">
        <v>2610</v>
      </c>
      <c r="E56" t="s">
        <v>2681</v>
      </c>
      <c r="F56" t="s">
        <v>2598</v>
      </c>
      <c r="G56" t="s">
        <v>161</v>
      </c>
      <c r="H56" t="s">
        <v>2603</v>
      </c>
      <c r="I56" t="s">
        <v>2603</v>
      </c>
      <c r="J56" t="s">
        <v>2604</v>
      </c>
      <c r="M56" t="s">
        <v>161</v>
      </c>
      <c r="N56" s="54">
        <v>45015</v>
      </c>
      <c r="O56" s="54"/>
      <c r="P56" s="54"/>
      <c r="Q56" t="s">
        <v>2613</v>
      </c>
      <c r="R56" t="s">
        <v>161</v>
      </c>
    </row>
    <row r="57" spans="1:18" x14ac:dyDescent="0.3">
      <c r="A57" t="s">
        <v>884</v>
      </c>
      <c r="B57" t="s">
        <v>2678</v>
      </c>
      <c r="C57" t="s">
        <v>2578</v>
      </c>
      <c r="D57" t="s">
        <v>2610</v>
      </c>
      <c r="E57" t="s">
        <v>2682</v>
      </c>
      <c r="F57" t="s">
        <v>2598</v>
      </c>
      <c r="G57" t="s">
        <v>161</v>
      </c>
      <c r="H57" t="s">
        <v>2603</v>
      </c>
      <c r="I57" t="s">
        <v>2603</v>
      </c>
      <c r="J57" t="s">
        <v>2604</v>
      </c>
      <c r="M57" t="s">
        <v>161</v>
      </c>
      <c r="N57" s="54">
        <v>45015</v>
      </c>
      <c r="O57" s="54"/>
      <c r="P57" s="54"/>
      <c r="Q57" t="s">
        <v>2613</v>
      </c>
      <c r="R57" t="s">
        <v>161</v>
      </c>
    </row>
    <row r="58" spans="1:18" x14ac:dyDescent="0.3">
      <c r="A58" t="s">
        <v>884</v>
      </c>
      <c r="B58" t="s">
        <v>2683</v>
      </c>
      <c r="C58" t="s">
        <v>2578</v>
      </c>
      <c r="D58" t="s">
        <v>2610</v>
      </c>
      <c r="E58" t="s">
        <v>2684</v>
      </c>
      <c r="F58" t="s">
        <v>2590</v>
      </c>
      <c r="G58" t="s">
        <v>161</v>
      </c>
      <c r="H58" t="s">
        <v>2591</v>
      </c>
      <c r="I58" t="s">
        <v>2685</v>
      </c>
      <c r="J58" t="s">
        <v>2686</v>
      </c>
      <c r="M58" t="s">
        <v>161</v>
      </c>
      <c r="N58" s="54">
        <v>45010.69699074074</v>
      </c>
      <c r="O58" s="54"/>
      <c r="P58" s="54"/>
      <c r="Q58" t="s">
        <v>2613</v>
      </c>
      <c r="R58" t="s">
        <v>161</v>
      </c>
    </row>
    <row r="59" spans="1:18" x14ac:dyDescent="0.3">
      <c r="A59" t="s">
        <v>884</v>
      </c>
      <c r="B59" t="s">
        <v>2687</v>
      </c>
      <c r="C59" t="s">
        <v>2578</v>
      </c>
      <c r="D59" t="s">
        <v>2610</v>
      </c>
      <c r="E59" t="s">
        <v>2688</v>
      </c>
      <c r="F59" t="s">
        <v>2590</v>
      </c>
      <c r="G59" t="s">
        <v>161</v>
      </c>
      <c r="H59" t="s">
        <v>2591</v>
      </c>
      <c r="I59" t="s">
        <v>2689</v>
      </c>
      <c r="J59" t="s">
        <v>2690</v>
      </c>
      <c r="M59" t="s">
        <v>161</v>
      </c>
      <c r="N59" s="54">
        <v>45010.703611111108</v>
      </c>
      <c r="O59" s="54"/>
      <c r="P59" s="54"/>
      <c r="Q59" t="s">
        <v>2613</v>
      </c>
      <c r="R59" t="s">
        <v>161</v>
      </c>
    </row>
    <row r="60" spans="1:18" x14ac:dyDescent="0.3">
      <c r="A60" t="s">
        <v>884</v>
      </c>
      <c r="B60" t="s">
        <v>2691</v>
      </c>
      <c r="C60" t="s">
        <v>2578</v>
      </c>
      <c r="D60" t="s">
        <v>2610</v>
      </c>
      <c r="E60" t="s">
        <v>2692</v>
      </c>
      <c r="F60" t="s">
        <v>2590</v>
      </c>
      <c r="G60" t="s">
        <v>161</v>
      </c>
      <c r="H60" t="s">
        <v>2591</v>
      </c>
      <c r="I60" t="s">
        <v>2689</v>
      </c>
      <c r="J60" t="s">
        <v>2690</v>
      </c>
      <c r="M60" t="s">
        <v>161</v>
      </c>
      <c r="N60" s="54">
        <v>45010.705393518518</v>
      </c>
      <c r="O60" s="54"/>
      <c r="P60" s="54"/>
      <c r="Q60" t="s">
        <v>2613</v>
      </c>
      <c r="R60" t="s">
        <v>161</v>
      </c>
    </row>
    <row r="61" spans="1:18" x14ac:dyDescent="0.3">
      <c r="A61" t="s">
        <v>884</v>
      </c>
      <c r="B61" t="s">
        <v>2693</v>
      </c>
      <c r="C61" t="s">
        <v>2578</v>
      </c>
      <c r="D61" t="s">
        <v>2610</v>
      </c>
      <c r="E61" t="s">
        <v>1050</v>
      </c>
      <c r="F61" t="s">
        <v>2590</v>
      </c>
      <c r="G61" t="s">
        <v>161</v>
      </c>
      <c r="H61" t="s">
        <v>2694</v>
      </c>
      <c r="I61" t="s">
        <v>2695</v>
      </c>
      <c r="J61" t="s">
        <v>2696</v>
      </c>
      <c r="M61" t="s">
        <v>161</v>
      </c>
      <c r="N61" s="54">
        <v>45600.401307870372</v>
      </c>
      <c r="O61" s="54"/>
      <c r="P61" s="54"/>
      <c r="Q61" t="s">
        <v>2613</v>
      </c>
      <c r="R61" t="s">
        <v>161</v>
      </c>
    </row>
    <row r="62" spans="1:18" x14ac:dyDescent="0.3">
      <c r="A62" t="s">
        <v>884</v>
      </c>
      <c r="B62" t="s">
        <v>2693</v>
      </c>
      <c r="C62" t="s">
        <v>2578</v>
      </c>
      <c r="D62" t="s">
        <v>2610</v>
      </c>
      <c r="E62" t="s">
        <v>2697</v>
      </c>
      <c r="F62" t="s">
        <v>2590</v>
      </c>
      <c r="G62" t="s">
        <v>161</v>
      </c>
      <c r="H62" t="s">
        <v>2694</v>
      </c>
      <c r="I62" t="s">
        <v>2695</v>
      </c>
      <c r="J62" t="s">
        <v>2696</v>
      </c>
      <c r="M62" t="s">
        <v>161</v>
      </c>
      <c r="N62" s="54">
        <v>45126.596041666664</v>
      </c>
      <c r="O62" s="54"/>
      <c r="P62" s="54"/>
      <c r="Q62" t="s">
        <v>2613</v>
      </c>
      <c r="R62" t="s">
        <v>161</v>
      </c>
    </row>
    <row r="63" spans="1:18" x14ac:dyDescent="0.3">
      <c r="A63" t="s">
        <v>884</v>
      </c>
      <c r="B63" t="s">
        <v>2693</v>
      </c>
      <c r="C63" t="s">
        <v>2578</v>
      </c>
      <c r="D63" t="s">
        <v>2610</v>
      </c>
      <c r="E63" t="s">
        <v>2698</v>
      </c>
      <c r="F63" t="s">
        <v>2590</v>
      </c>
      <c r="G63" t="s">
        <v>161</v>
      </c>
      <c r="H63" t="s">
        <v>2694</v>
      </c>
      <c r="I63" t="s">
        <v>2695</v>
      </c>
      <c r="J63" t="s">
        <v>2696</v>
      </c>
      <c r="M63" t="s">
        <v>161</v>
      </c>
      <c r="N63" s="54">
        <v>45506.721678240741</v>
      </c>
      <c r="O63" s="54"/>
      <c r="P63" s="54"/>
      <c r="Q63" t="s">
        <v>2613</v>
      </c>
      <c r="R63" t="s">
        <v>161</v>
      </c>
    </row>
    <row r="64" spans="1:18" x14ac:dyDescent="0.3">
      <c r="A64" t="s">
        <v>884</v>
      </c>
      <c r="B64" t="s">
        <v>2699</v>
      </c>
      <c r="C64" t="s">
        <v>2578</v>
      </c>
      <c r="D64" t="s">
        <v>2610</v>
      </c>
      <c r="E64" t="s">
        <v>2700</v>
      </c>
      <c r="F64" t="s">
        <v>2590</v>
      </c>
      <c r="G64" t="s">
        <v>161</v>
      </c>
      <c r="H64" t="s">
        <v>2591</v>
      </c>
      <c r="I64" t="s">
        <v>2592</v>
      </c>
      <c r="J64" t="s">
        <v>2593</v>
      </c>
      <c r="M64" t="s">
        <v>161</v>
      </c>
      <c r="N64" s="54">
        <v>45010.714062500003</v>
      </c>
      <c r="O64" s="54"/>
      <c r="P64" s="54"/>
      <c r="Q64" t="s">
        <v>2613</v>
      </c>
      <c r="R64" t="s">
        <v>161</v>
      </c>
    </row>
    <row r="65" spans="1:18" x14ac:dyDescent="0.3">
      <c r="A65" t="s">
        <v>884</v>
      </c>
      <c r="B65" t="s">
        <v>2701</v>
      </c>
      <c r="C65" t="s">
        <v>2578</v>
      </c>
      <c r="D65" t="s">
        <v>2610</v>
      </c>
      <c r="E65" t="s">
        <v>2702</v>
      </c>
      <c r="F65" t="s">
        <v>2590</v>
      </c>
      <c r="G65" t="s">
        <v>161</v>
      </c>
      <c r="H65" t="s">
        <v>2703</v>
      </c>
      <c r="I65" t="s">
        <v>2704</v>
      </c>
      <c r="J65" t="s">
        <v>2705</v>
      </c>
      <c r="M65" t="s">
        <v>161</v>
      </c>
      <c r="N65" s="54">
        <v>45152.32708333333</v>
      </c>
      <c r="O65" s="54"/>
      <c r="P65" s="54"/>
      <c r="Q65" t="s">
        <v>2613</v>
      </c>
      <c r="R65" t="s">
        <v>161</v>
      </c>
    </row>
    <row r="66" spans="1:18" x14ac:dyDescent="0.3">
      <c r="A66" t="s">
        <v>884</v>
      </c>
      <c r="B66" t="s">
        <v>2701</v>
      </c>
      <c r="C66" t="s">
        <v>2578</v>
      </c>
      <c r="D66" t="s">
        <v>2610</v>
      </c>
      <c r="E66" t="s">
        <v>2706</v>
      </c>
      <c r="F66" t="s">
        <v>2590</v>
      </c>
      <c r="G66" t="s">
        <v>161</v>
      </c>
      <c r="H66" t="s">
        <v>2703</v>
      </c>
      <c r="I66" t="s">
        <v>2704</v>
      </c>
      <c r="J66" t="s">
        <v>2705</v>
      </c>
      <c r="M66" t="s">
        <v>161</v>
      </c>
      <c r="N66" s="54">
        <v>45534.663252314815</v>
      </c>
      <c r="O66" s="54"/>
      <c r="P66" s="54"/>
      <c r="Q66" t="s">
        <v>2613</v>
      </c>
      <c r="R66" t="s">
        <v>161</v>
      </c>
    </row>
    <row r="67" spans="1:18" x14ac:dyDescent="0.3">
      <c r="A67" t="s">
        <v>884</v>
      </c>
      <c r="B67" t="s">
        <v>2707</v>
      </c>
      <c r="C67" t="s">
        <v>2578</v>
      </c>
      <c r="D67" t="s">
        <v>2610</v>
      </c>
      <c r="E67" t="s">
        <v>2708</v>
      </c>
      <c r="F67" t="s">
        <v>2581</v>
      </c>
      <c r="G67" t="s">
        <v>161</v>
      </c>
      <c r="H67" t="s">
        <v>2703</v>
      </c>
      <c r="I67" t="s">
        <v>2709</v>
      </c>
      <c r="J67" t="s">
        <v>2710</v>
      </c>
      <c r="M67" t="s">
        <v>161</v>
      </c>
      <c r="N67" s="54">
        <v>45010.729120370372</v>
      </c>
      <c r="O67" s="54"/>
      <c r="P67" s="54"/>
      <c r="Q67" t="s">
        <v>2613</v>
      </c>
      <c r="R67" t="s">
        <v>161</v>
      </c>
    </row>
    <row r="68" spans="1:18" x14ac:dyDescent="0.3">
      <c r="A68" t="s">
        <v>884</v>
      </c>
      <c r="B68" t="s">
        <v>2707</v>
      </c>
      <c r="C68" t="s">
        <v>2578</v>
      </c>
      <c r="D68" t="s">
        <v>2610</v>
      </c>
      <c r="E68" t="s">
        <v>2711</v>
      </c>
      <c r="F68" t="s">
        <v>2581</v>
      </c>
      <c r="G68" t="s">
        <v>161</v>
      </c>
      <c r="H68" t="s">
        <v>2703</v>
      </c>
      <c r="I68" t="s">
        <v>2709</v>
      </c>
      <c r="J68" t="s">
        <v>2710</v>
      </c>
      <c r="M68" t="s">
        <v>161</v>
      </c>
      <c r="N68" s="54">
        <v>45010.729351851849</v>
      </c>
      <c r="O68" s="54"/>
      <c r="P68" s="54"/>
      <c r="Q68" t="s">
        <v>2613</v>
      </c>
      <c r="R68" t="s">
        <v>161</v>
      </c>
    </row>
    <row r="69" spans="1:18" x14ac:dyDescent="0.3">
      <c r="A69" t="s">
        <v>884</v>
      </c>
      <c r="B69" t="s">
        <v>2712</v>
      </c>
      <c r="C69" t="s">
        <v>2578</v>
      </c>
      <c r="D69" t="s">
        <v>2610</v>
      </c>
      <c r="E69" t="s">
        <v>2713</v>
      </c>
      <c r="F69" t="s">
        <v>2581</v>
      </c>
      <c r="G69" t="s">
        <v>161</v>
      </c>
      <c r="H69" t="s">
        <v>2703</v>
      </c>
      <c r="I69" t="s">
        <v>2709</v>
      </c>
      <c r="J69" t="s">
        <v>2710</v>
      </c>
      <c r="M69" t="s">
        <v>161</v>
      </c>
      <c r="N69" s="54">
        <v>45736.313854166663</v>
      </c>
      <c r="O69" s="54"/>
      <c r="P69" s="54"/>
      <c r="Q69" t="s">
        <v>2613</v>
      </c>
      <c r="R69" t="s">
        <v>161</v>
      </c>
    </row>
    <row r="70" spans="1:18" x14ac:dyDescent="0.3">
      <c r="A70" t="s">
        <v>884</v>
      </c>
      <c r="B70" t="s">
        <v>2712</v>
      </c>
      <c r="C70" t="s">
        <v>2578</v>
      </c>
      <c r="D70" t="s">
        <v>2610</v>
      </c>
      <c r="E70" t="s">
        <v>2714</v>
      </c>
      <c r="F70" t="s">
        <v>2581</v>
      </c>
      <c r="G70" t="s">
        <v>161</v>
      </c>
      <c r="H70" t="s">
        <v>2703</v>
      </c>
      <c r="I70" t="s">
        <v>2709</v>
      </c>
      <c r="J70" t="s">
        <v>2710</v>
      </c>
      <c r="M70" t="s">
        <v>161</v>
      </c>
      <c r="N70" s="54">
        <v>45010.729710648149</v>
      </c>
      <c r="O70" s="54"/>
      <c r="P70" s="54"/>
      <c r="Q70" t="s">
        <v>2613</v>
      </c>
      <c r="R70" t="s">
        <v>161</v>
      </c>
    </row>
    <row r="71" spans="1:18" x14ac:dyDescent="0.3">
      <c r="A71" t="s">
        <v>884</v>
      </c>
      <c r="B71" t="s">
        <v>2715</v>
      </c>
      <c r="C71" t="s">
        <v>2578</v>
      </c>
      <c r="D71" t="s">
        <v>2610</v>
      </c>
      <c r="E71" t="s">
        <v>2716</v>
      </c>
      <c r="F71" t="s">
        <v>2590</v>
      </c>
      <c r="G71" t="s">
        <v>161</v>
      </c>
      <c r="H71" t="s">
        <v>2703</v>
      </c>
      <c r="I71" t="s">
        <v>2704</v>
      </c>
      <c r="J71" t="s">
        <v>2705</v>
      </c>
      <c r="M71" t="s">
        <v>161</v>
      </c>
      <c r="N71" s="54">
        <v>45888.486284722225</v>
      </c>
      <c r="O71" s="54"/>
      <c r="P71" s="54"/>
      <c r="Q71" t="s">
        <v>2613</v>
      </c>
      <c r="R71" t="s">
        <v>161</v>
      </c>
    </row>
    <row r="72" spans="1:18" x14ac:dyDescent="0.3">
      <c r="A72" t="s">
        <v>884</v>
      </c>
      <c r="B72" t="s">
        <v>2715</v>
      </c>
      <c r="C72" t="s">
        <v>2578</v>
      </c>
      <c r="D72" t="s">
        <v>2610</v>
      </c>
      <c r="E72" t="s">
        <v>2717</v>
      </c>
      <c r="F72" t="s">
        <v>2590</v>
      </c>
      <c r="G72" t="s">
        <v>161</v>
      </c>
      <c r="H72" t="s">
        <v>2703</v>
      </c>
      <c r="I72" t="s">
        <v>2704</v>
      </c>
      <c r="J72" t="s">
        <v>2705</v>
      </c>
      <c r="M72" t="s">
        <v>161</v>
      </c>
      <c r="N72" s="54">
        <v>45015.689155092594</v>
      </c>
      <c r="O72" s="54"/>
      <c r="P72" s="54"/>
      <c r="Q72" t="s">
        <v>2613</v>
      </c>
      <c r="R72" t="s">
        <v>161</v>
      </c>
    </row>
    <row r="73" spans="1:18" x14ac:dyDescent="0.3">
      <c r="A73" t="s">
        <v>884</v>
      </c>
      <c r="B73" t="s">
        <v>2718</v>
      </c>
      <c r="C73" t="s">
        <v>2578</v>
      </c>
      <c r="D73" t="s">
        <v>2610</v>
      </c>
      <c r="E73" t="s">
        <v>2719</v>
      </c>
      <c r="F73" t="s">
        <v>2590</v>
      </c>
      <c r="G73" t="s">
        <v>161</v>
      </c>
      <c r="H73" t="s">
        <v>2703</v>
      </c>
      <c r="I73" t="s">
        <v>2704</v>
      </c>
      <c r="J73" t="s">
        <v>2705</v>
      </c>
      <c r="M73" t="s">
        <v>161</v>
      </c>
      <c r="N73" s="54">
        <v>45803.368333333332</v>
      </c>
      <c r="O73" s="54"/>
      <c r="P73" s="54"/>
      <c r="Q73" t="s">
        <v>2613</v>
      </c>
      <c r="R73" t="s">
        <v>161</v>
      </c>
    </row>
    <row r="74" spans="1:18" x14ac:dyDescent="0.3">
      <c r="A74" t="s">
        <v>884</v>
      </c>
      <c r="B74" t="s">
        <v>2718</v>
      </c>
      <c r="C74" t="s">
        <v>2578</v>
      </c>
      <c r="D74" t="s">
        <v>2610</v>
      </c>
      <c r="E74" t="s">
        <v>2720</v>
      </c>
      <c r="F74" t="s">
        <v>2590</v>
      </c>
      <c r="G74" t="s">
        <v>161</v>
      </c>
      <c r="H74" t="s">
        <v>2703</v>
      </c>
      <c r="I74" t="s">
        <v>2704</v>
      </c>
      <c r="J74" t="s">
        <v>2705</v>
      </c>
      <c r="M74" t="s">
        <v>161</v>
      </c>
      <c r="N74" s="54">
        <v>45015.689884259256</v>
      </c>
      <c r="O74" s="54"/>
      <c r="P74" s="54"/>
      <c r="Q74" t="s">
        <v>2613</v>
      </c>
      <c r="R74" t="s">
        <v>161</v>
      </c>
    </row>
    <row r="75" spans="1:18" x14ac:dyDescent="0.3">
      <c r="A75" t="s">
        <v>884</v>
      </c>
      <c r="B75" t="s">
        <v>2721</v>
      </c>
      <c r="C75" t="s">
        <v>2578</v>
      </c>
      <c r="D75" t="s">
        <v>2610</v>
      </c>
      <c r="E75" t="s">
        <v>2722</v>
      </c>
      <c r="F75" t="s">
        <v>2590</v>
      </c>
      <c r="G75" t="s">
        <v>161</v>
      </c>
      <c r="H75" t="s">
        <v>2703</v>
      </c>
      <c r="I75" t="s">
        <v>2704</v>
      </c>
      <c r="J75" t="s">
        <v>2705</v>
      </c>
      <c r="M75" t="s">
        <v>161</v>
      </c>
      <c r="N75" s="54">
        <v>45684.676122685189</v>
      </c>
      <c r="O75" s="54"/>
      <c r="P75" s="54"/>
      <c r="Q75" t="s">
        <v>2613</v>
      </c>
      <c r="R75" t="s">
        <v>161</v>
      </c>
    </row>
    <row r="76" spans="1:18" x14ac:dyDescent="0.3">
      <c r="A76" t="s">
        <v>884</v>
      </c>
      <c r="B76" t="s">
        <v>2721</v>
      </c>
      <c r="C76" t="s">
        <v>2578</v>
      </c>
      <c r="D76" t="s">
        <v>2610</v>
      </c>
      <c r="E76" t="s">
        <v>2723</v>
      </c>
      <c r="F76" t="s">
        <v>2590</v>
      </c>
      <c r="G76" t="s">
        <v>161</v>
      </c>
      <c r="H76" t="s">
        <v>2703</v>
      </c>
      <c r="I76" t="s">
        <v>2704</v>
      </c>
      <c r="J76" t="s">
        <v>2705</v>
      </c>
      <c r="M76" t="s">
        <v>161</v>
      </c>
      <c r="N76" s="54">
        <v>45782.40861111111</v>
      </c>
      <c r="O76" s="54"/>
      <c r="P76" s="54"/>
      <c r="Q76" t="s">
        <v>2613</v>
      </c>
      <c r="R76" t="s">
        <v>161</v>
      </c>
    </row>
    <row r="77" spans="1:18" x14ac:dyDescent="0.3">
      <c r="A77" t="s">
        <v>884</v>
      </c>
      <c r="B77" t="s">
        <v>2724</v>
      </c>
      <c r="C77" t="s">
        <v>2578</v>
      </c>
      <c r="D77" t="s">
        <v>2610</v>
      </c>
      <c r="E77" t="s">
        <v>2725</v>
      </c>
      <c r="F77" t="s">
        <v>2590</v>
      </c>
      <c r="G77" t="s">
        <v>161</v>
      </c>
      <c r="H77" t="s">
        <v>2703</v>
      </c>
      <c r="I77" t="s">
        <v>2704</v>
      </c>
      <c r="J77" t="s">
        <v>2705</v>
      </c>
      <c r="M77" t="s">
        <v>161</v>
      </c>
      <c r="N77" s="54">
        <v>45596.751157407409</v>
      </c>
      <c r="O77" s="54"/>
      <c r="P77" s="54"/>
      <c r="Q77" t="s">
        <v>2613</v>
      </c>
      <c r="R77" t="s">
        <v>161</v>
      </c>
    </row>
    <row r="78" spans="1:18" x14ac:dyDescent="0.3">
      <c r="A78" t="s">
        <v>884</v>
      </c>
      <c r="B78" t="s">
        <v>2724</v>
      </c>
      <c r="C78" t="s">
        <v>2578</v>
      </c>
      <c r="D78" t="s">
        <v>2610</v>
      </c>
      <c r="E78" t="s">
        <v>2726</v>
      </c>
      <c r="F78" t="s">
        <v>2590</v>
      </c>
      <c r="G78" t="s">
        <v>161</v>
      </c>
      <c r="H78" t="s">
        <v>2703</v>
      </c>
      <c r="I78" t="s">
        <v>2704</v>
      </c>
      <c r="J78" t="s">
        <v>2705</v>
      </c>
      <c r="M78" t="s">
        <v>161</v>
      </c>
      <c r="N78" s="54">
        <v>45790.583807870367</v>
      </c>
      <c r="O78" s="54"/>
      <c r="P78" s="54"/>
      <c r="Q78" t="s">
        <v>2613</v>
      </c>
      <c r="R78" t="s">
        <v>161</v>
      </c>
    </row>
    <row r="79" spans="1:18" x14ac:dyDescent="0.3">
      <c r="A79" t="s">
        <v>884</v>
      </c>
      <c r="B79" t="s">
        <v>2727</v>
      </c>
      <c r="C79" t="s">
        <v>2578</v>
      </c>
      <c r="D79" t="s">
        <v>2610</v>
      </c>
      <c r="E79" t="s">
        <v>2728</v>
      </c>
      <c r="F79" t="s">
        <v>2590</v>
      </c>
      <c r="G79" t="s">
        <v>161</v>
      </c>
      <c r="H79" t="s">
        <v>2694</v>
      </c>
      <c r="I79" t="s">
        <v>2695</v>
      </c>
      <c r="J79" t="s">
        <v>2696</v>
      </c>
      <c r="M79" t="s">
        <v>161</v>
      </c>
      <c r="N79" s="54">
        <v>45636.429583333331</v>
      </c>
      <c r="O79" s="54"/>
      <c r="P79" s="54"/>
      <c r="Q79" t="s">
        <v>2613</v>
      </c>
      <c r="R79" t="s">
        <v>161</v>
      </c>
    </row>
    <row r="80" spans="1:18" x14ac:dyDescent="0.3">
      <c r="A80" t="s">
        <v>884</v>
      </c>
      <c r="B80" t="s">
        <v>2727</v>
      </c>
      <c r="C80" t="s">
        <v>2578</v>
      </c>
      <c r="D80" t="s">
        <v>2610</v>
      </c>
      <c r="E80" t="s">
        <v>2729</v>
      </c>
      <c r="F80" t="s">
        <v>2590</v>
      </c>
      <c r="G80" t="s">
        <v>161</v>
      </c>
      <c r="H80" t="s">
        <v>2694</v>
      </c>
      <c r="I80" t="s">
        <v>2695</v>
      </c>
      <c r="J80" t="s">
        <v>2696</v>
      </c>
      <c r="M80" t="s">
        <v>161</v>
      </c>
      <c r="N80" s="54">
        <v>45636.429942129631</v>
      </c>
      <c r="O80" s="54"/>
      <c r="P80" s="54"/>
      <c r="Q80" t="s">
        <v>2613</v>
      </c>
      <c r="R80" t="s">
        <v>161</v>
      </c>
    </row>
    <row r="81" spans="1:18" x14ac:dyDescent="0.3">
      <c r="A81" t="s">
        <v>884</v>
      </c>
      <c r="B81" t="s">
        <v>2727</v>
      </c>
      <c r="C81" t="s">
        <v>2578</v>
      </c>
      <c r="D81" t="s">
        <v>2610</v>
      </c>
      <c r="E81" t="s">
        <v>2730</v>
      </c>
      <c r="F81" t="s">
        <v>2581</v>
      </c>
      <c r="G81" t="s">
        <v>161</v>
      </c>
      <c r="H81" t="s">
        <v>2703</v>
      </c>
      <c r="I81" t="s">
        <v>2731</v>
      </c>
      <c r="J81" t="s">
        <v>2732</v>
      </c>
      <c r="M81" t="s">
        <v>161</v>
      </c>
      <c r="N81" s="54">
        <v>45499.417326388888</v>
      </c>
      <c r="O81" s="54"/>
      <c r="P81" s="54"/>
      <c r="Q81" t="s">
        <v>2613</v>
      </c>
      <c r="R81" t="s">
        <v>161</v>
      </c>
    </row>
    <row r="82" spans="1:18" x14ac:dyDescent="0.3">
      <c r="A82" t="s">
        <v>884</v>
      </c>
      <c r="B82" t="s">
        <v>2727</v>
      </c>
      <c r="C82" t="s">
        <v>2578</v>
      </c>
      <c r="D82" t="s">
        <v>2610</v>
      </c>
      <c r="E82" t="s">
        <v>2733</v>
      </c>
      <c r="F82" t="s">
        <v>2581</v>
      </c>
      <c r="G82" t="s">
        <v>161</v>
      </c>
      <c r="H82" t="s">
        <v>2703</v>
      </c>
      <c r="I82" t="s">
        <v>2731</v>
      </c>
      <c r="J82" t="s">
        <v>2732</v>
      </c>
      <c r="M82" t="s">
        <v>161</v>
      </c>
      <c r="N82" s="54">
        <v>45010.758472222224</v>
      </c>
      <c r="O82" s="54"/>
      <c r="P82" s="54"/>
      <c r="Q82" t="s">
        <v>2613</v>
      </c>
      <c r="R82" t="s">
        <v>161</v>
      </c>
    </row>
    <row r="83" spans="1:18" x14ac:dyDescent="0.3">
      <c r="A83" t="s">
        <v>884</v>
      </c>
      <c r="B83" t="s">
        <v>2727</v>
      </c>
      <c r="C83" t="s">
        <v>2578</v>
      </c>
      <c r="D83" t="s">
        <v>2610</v>
      </c>
      <c r="E83" t="s">
        <v>2734</v>
      </c>
      <c r="F83" t="s">
        <v>2735</v>
      </c>
      <c r="G83" t="s">
        <v>161</v>
      </c>
      <c r="H83" t="s">
        <v>2703</v>
      </c>
      <c r="I83" t="s">
        <v>2731</v>
      </c>
      <c r="J83" t="s">
        <v>2732</v>
      </c>
      <c r="M83" t="s">
        <v>161</v>
      </c>
      <c r="N83" s="54">
        <v>45152.699456018519</v>
      </c>
      <c r="O83" s="54"/>
      <c r="P83" s="54"/>
      <c r="Q83" t="s">
        <v>2613</v>
      </c>
      <c r="R83" t="s">
        <v>161</v>
      </c>
    </row>
    <row r="84" spans="1:18" x14ac:dyDescent="0.3">
      <c r="A84" t="s">
        <v>884</v>
      </c>
      <c r="B84" t="s">
        <v>2727</v>
      </c>
      <c r="C84" t="s">
        <v>2578</v>
      </c>
      <c r="D84" t="s">
        <v>2610</v>
      </c>
      <c r="E84" t="s">
        <v>2736</v>
      </c>
      <c r="F84" t="s">
        <v>2735</v>
      </c>
      <c r="G84" t="s">
        <v>161</v>
      </c>
      <c r="H84" t="s">
        <v>2703</v>
      </c>
      <c r="I84" t="s">
        <v>2731</v>
      </c>
      <c r="J84" t="s">
        <v>2732</v>
      </c>
      <c r="M84" t="s">
        <v>161</v>
      </c>
      <c r="N84" s="54">
        <v>45010.760868055557</v>
      </c>
      <c r="O84" s="54"/>
      <c r="P84" s="54"/>
      <c r="Q84" t="s">
        <v>2613</v>
      </c>
      <c r="R84" t="s">
        <v>161</v>
      </c>
    </row>
    <row r="85" spans="1:18" x14ac:dyDescent="0.3">
      <c r="A85" t="s">
        <v>884</v>
      </c>
      <c r="B85" t="s">
        <v>2727</v>
      </c>
      <c r="C85" t="s">
        <v>2578</v>
      </c>
      <c r="D85" t="s">
        <v>2610</v>
      </c>
      <c r="E85" t="s">
        <v>2737</v>
      </c>
      <c r="F85" t="s">
        <v>2735</v>
      </c>
      <c r="G85" t="s">
        <v>161</v>
      </c>
      <c r="H85" t="s">
        <v>2703</v>
      </c>
      <c r="I85" t="s">
        <v>2731</v>
      </c>
      <c r="J85" t="s">
        <v>2732</v>
      </c>
      <c r="M85" t="s">
        <v>161</v>
      </c>
      <c r="N85" s="54">
        <v>45010.762395833335</v>
      </c>
      <c r="O85" s="54"/>
      <c r="P85" s="54"/>
      <c r="Q85" t="s">
        <v>2613</v>
      </c>
      <c r="R85" t="s">
        <v>161</v>
      </c>
    </row>
    <row r="86" spans="1:18" x14ac:dyDescent="0.3">
      <c r="A86" t="s">
        <v>884</v>
      </c>
      <c r="B86" t="s">
        <v>2727</v>
      </c>
      <c r="C86" t="s">
        <v>2578</v>
      </c>
      <c r="D86" t="s">
        <v>2610</v>
      </c>
      <c r="E86" t="s">
        <v>2738</v>
      </c>
      <c r="F86" t="s">
        <v>2735</v>
      </c>
      <c r="G86" t="s">
        <v>161</v>
      </c>
      <c r="H86" t="s">
        <v>2703</v>
      </c>
      <c r="I86" t="s">
        <v>2731</v>
      </c>
      <c r="J86" t="s">
        <v>2732</v>
      </c>
      <c r="M86" t="s">
        <v>161</v>
      </c>
      <c r="N86" s="54">
        <v>45338.69321759259</v>
      </c>
      <c r="O86" s="54"/>
      <c r="P86" s="54"/>
      <c r="Q86" t="s">
        <v>2613</v>
      </c>
      <c r="R86" t="s">
        <v>161</v>
      </c>
    </row>
    <row r="87" spans="1:18" x14ac:dyDescent="0.3">
      <c r="A87" t="s">
        <v>884</v>
      </c>
      <c r="B87" t="s">
        <v>2739</v>
      </c>
      <c r="C87" t="s">
        <v>2578</v>
      </c>
      <c r="D87" t="s">
        <v>2610</v>
      </c>
      <c r="E87" t="s">
        <v>2740</v>
      </c>
      <c r="F87" t="s">
        <v>2590</v>
      </c>
      <c r="G87" t="s">
        <v>161</v>
      </c>
      <c r="H87" t="s">
        <v>2603</v>
      </c>
      <c r="I87" t="s">
        <v>2603</v>
      </c>
      <c r="J87" t="s">
        <v>2741</v>
      </c>
      <c r="M87" t="s">
        <v>161</v>
      </c>
      <c r="N87" s="54">
        <v>45016.362546296295</v>
      </c>
      <c r="O87" s="54"/>
      <c r="P87" s="54"/>
      <c r="Q87" t="s">
        <v>2613</v>
      </c>
      <c r="R87" t="s">
        <v>161</v>
      </c>
    </row>
    <row r="88" spans="1:18" x14ac:dyDescent="0.3">
      <c r="A88" t="s">
        <v>884</v>
      </c>
      <c r="B88" t="s">
        <v>2739</v>
      </c>
      <c r="C88" t="s">
        <v>2578</v>
      </c>
      <c r="D88" t="s">
        <v>2610</v>
      </c>
      <c r="E88" t="s">
        <v>2742</v>
      </c>
      <c r="F88" t="s">
        <v>2590</v>
      </c>
      <c r="G88" t="s">
        <v>161</v>
      </c>
      <c r="H88" t="s">
        <v>2603</v>
      </c>
      <c r="I88" t="s">
        <v>2603</v>
      </c>
      <c r="J88" t="s">
        <v>2741</v>
      </c>
      <c r="M88" t="s">
        <v>161</v>
      </c>
      <c r="N88" s="54">
        <v>45016.362650462965</v>
      </c>
      <c r="O88" s="54"/>
      <c r="P88" s="54"/>
      <c r="Q88" t="s">
        <v>2613</v>
      </c>
      <c r="R88" t="s">
        <v>161</v>
      </c>
    </row>
    <row r="89" spans="1:18" x14ac:dyDescent="0.3">
      <c r="A89" t="s">
        <v>884</v>
      </c>
      <c r="B89" t="s">
        <v>2739</v>
      </c>
      <c r="C89" t="s">
        <v>2578</v>
      </c>
      <c r="D89" t="s">
        <v>2610</v>
      </c>
      <c r="E89" t="s">
        <v>2743</v>
      </c>
      <c r="F89" t="s">
        <v>2590</v>
      </c>
      <c r="G89" t="s">
        <v>161</v>
      </c>
      <c r="H89" t="s">
        <v>2603</v>
      </c>
      <c r="I89" t="s">
        <v>2603</v>
      </c>
      <c r="J89" t="s">
        <v>2741</v>
      </c>
      <c r="M89" t="s">
        <v>161</v>
      </c>
      <c r="N89" s="54">
        <v>45010.819537037038</v>
      </c>
      <c r="O89" s="54"/>
      <c r="P89" s="54"/>
      <c r="Q89" t="s">
        <v>2613</v>
      </c>
      <c r="R89" t="s">
        <v>161</v>
      </c>
    </row>
    <row r="90" spans="1:18" x14ac:dyDescent="0.3">
      <c r="A90" t="s">
        <v>884</v>
      </c>
      <c r="B90" t="s">
        <v>2739</v>
      </c>
      <c r="C90" t="s">
        <v>2578</v>
      </c>
      <c r="D90" t="s">
        <v>2610</v>
      </c>
      <c r="E90" t="s">
        <v>2744</v>
      </c>
      <c r="F90" t="s">
        <v>2590</v>
      </c>
      <c r="G90" t="s">
        <v>161</v>
      </c>
      <c r="H90" t="s">
        <v>2603</v>
      </c>
      <c r="I90" t="s">
        <v>2603</v>
      </c>
      <c r="J90" t="s">
        <v>2741</v>
      </c>
      <c r="M90" t="s">
        <v>161</v>
      </c>
      <c r="N90" s="54">
        <v>45010.819664351853</v>
      </c>
      <c r="O90" s="54"/>
      <c r="P90" s="54"/>
      <c r="Q90" t="s">
        <v>2613</v>
      </c>
      <c r="R90" t="s">
        <v>161</v>
      </c>
    </row>
    <row r="91" spans="1:18" x14ac:dyDescent="0.3">
      <c r="A91" t="s">
        <v>884</v>
      </c>
      <c r="B91" t="s">
        <v>2739</v>
      </c>
      <c r="C91" t="s">
        <v>2578</v>
      </c>
      <c r="D91" t="s">
        <v>2610</v>
      </c>
      <c r="E91" t="s">
        <v>2745</v>
      </c>
      <c r="F91" t="s">
        <v>2590</v>
      </c>
      <c r="G91" t="s">
        <v>161</v>
      </c>
      <c r="H91" t="s">
        <v>2603</v>
      </c>
      <c r="I91" t="s">
        <v>2603</v>
      </c>
      <c r="J91" t="s">
        <v>2741</v>
      </c>
      <c r="M91" t="s">
        <v>161</v>
      </c>
      <c r="N91" s="54">
        <v>45706.367280092592</v>
      </c>
      <c r="O91" s="54"/>
      <c r="P91" s="54"/>
      <c r="Q91" t="s">
        <v>2613</v>
      </c>
      <c r="R91" t="s">
        <v>161</v>
      </c>
    </row>
    <row r="92" spans="1:18" x14ac:dyDescent="0.3">
      <c r="A92" t="s">
        <v>884</v>
      </c>
      <c r="B92" t="s">
        <v>2739</v>
      </c>
      <c r="C92" t="s">
        <v>2578</v>
      </c>
      <c r="D92" t="s">
        <v>2610</v>
      </c>
      <c r="E92" t="s">
        <v>2746</v>
      </c>
      <c r="F92" t="s">
        <v>2590</v>
      </c>
      <c r="G92" t="s">
        <v>161</v>
      </c>
      <c r="H92" t="s">
        <v>2603</v>
      </c>
      <c r="I92" t="s">
        <v>2603</v>
      </c>
      <c r="J92" t="s">
        <v>2741</v>
      </c>
      <c r="M92" t="s">
        <v>161</v>
      </c>
      <c r="N92" s="54">
        <v>45734.86377314815</v>
      </c>
      <c r="O92" s="54"/>
      <c r="P92" s="54"/>
      <c r="Q92" t="s">
        <v>2613</v>
      </c>
      <c r="R92" t="s">
        <v>161</v>
      </c>
    </row>
    <row r="93" spans="1:18" x14ac:dyDescent="0.3">
      <c r="A93" t="s">
        <v>884</v>
      </c>
      <c r="B93" t="s">
        <v>2739</v>
      </c>
      <c r="C93" t="s">
        <v>2578</v>
      </c>
      <c r="D93" t="s">
        <v>2610</v>
      </c>
      <c r="E93" t="s">
        <v>2747</v>
      </c>
      <c r="F93" t="s">
        <v>2590</v>
      </c>
      <c r="G93" t="s">
        <v>161</v>
      </c>
      <c r="H93" t="s">
        <v>2603</v>
      </c>
      <c r="I93" t="s">
        <v>2603</v>
      </c>
      <c r="J93" t="s">
        <v>2741</v>
      </c>
      <c r="M93" t="s">
        <v>161</v>
      </c>
      <c r="N93" s="54">
        <v>45010.819976851853</v>
      </c>
      <c r="O93" s="54"/>
      <c r="P93" s="54"/>
      <c r="Q93" t="s">
        <v>2613</v>
      </c>
      <c r="R93" t="s">
        <v>161</v>
      </c>
    </row>
    <row r="94" spans="1:18" x14ac:dyDescent="0.3">
      <c r="A94" t="s">
        <v>884</v>
      </c>
      <c r="B94" t="s">
        <v>2748</v>
      </c>
      <c r="C94" t="s">
        <v>2578</v>
      </c>
      <c r="D94" t="s">
        <v>2610</v>
      </c>
      <c r="E94" t="s">
        <v>2749</v>
      </c>
      <c r="F94" t="s">
        <v>2735</v>
      </c>
      <c r="G94" t="s">
        <v>161</v>
      </c>
      <c r="H94" t="s">
        <v>2703</v>
      </c>
      <c r="I94" t="s">
        <v>2731</v>
      </c>
      <c r="J94" t="s">
        <v>2732</v>
      </c>
      <c r="M94" t="s">
        <v>161</v>
      </c>
      <c r="N94" s="54">
        <v>45015.741793981484</v>
      </c>
      <c r="O94" s="54"/>
      <c r="P94" s="54"/>
      <c r="Q94" t="s">
        <v>2613</v>
      </c>
      <c r="R94" t="s">
        <v>161</v>
      </c>
    </row>
    <row r="95" spans="1:18" x14ac:dyDescent="0.3">
      <c r="A95" t="s">
        <v>884</v>
      </c>
      <c r="B95" t="s">
        <v>2748</v>
      </c>
      <c r="C95" t="s">
        <v>2578</v>
      </c>
      <c r="D95" t="s">
        <v>2610</v>
      </c>
      <c r="E95" t="s">
        <v>2750</v>
      </c>
      <c r="F95" t="s">
        <v>2735</v>
      </c>
      <c r="G95" t="s">
        <v>161</v>
      </c>
      <c r="H95" t="s">
        <v>2703</v>
      </c>
      <c r="I95" t="s">
        <v>2731</v>
      </c>
      <c r="J95" t="s">
        <v>2732</v>
      </c>
      <c r="M95" t="s">
        <v>161</v>
      </c>
      <c r="N95" s="54">
        <v>45511.729699074072</v>
      </c>
      <c r="O95" s="54"/>
      <c r="P95" s="54"/>
      <c r="Q95" t="s">
        <v>2613</v>
      </c>
      <c r="R95" t="s">
        <v>161</v>
      </c>
    </row>
    <row r="96" spans="1:18" x14ac:dyDescent="0.3">
      <c r="A96" t="s">
        <v>884</v>
      </c>
      <c r="B96" t="s">
        <v>2751</v>
      </c>
      <c r="C96" t="s">
        <v>2578</v>
      </c>
      <c r="D96" t="s">
        <v>2610</v>
      </c>
      <c r="E96" t="s">
        <v>2752</v>
      </c>
      <c r="F96" t="s">
        <v>2753</v>
      </c>
      <c r="G96" t="s">
        <v>161</v>
      </c>
      <c r="H96" t="s">
        <v>2603</v>
      </c>
      <c r="I96" t="s">
        <v>2603</v>
      </c>
      <c r="J96" t="s">
        <v>2741</v>
      </c>
      <c r="M96" t="s">
        <v>161</v>
      </c>
      <c r="N96" s="54">
        <v>45204.717245370368</v>
      </c>
      <c r="O96" s="54"/>
      <c r="P96" s="54"/>
      <c r="Q96" t="s">
        <v>2613</v>
      </c>
      <c r="R96" t="s">
        <v>161</v>
      </c>
    </row>
    <row r="97" spans="1:18" x14ac:dyDescent="0.3">
      <c r="A97" t="s">
        <v>884</v>
      </c>
      <c r="B97" t="s">
        <v>2751</v>
      </c>
      <c r="C97" t="s">
        <v>2578</v>
      </c>
      <c r="D97" t="s">
        <v>2610</v>
      </c>
      <c r="E97" t="s">
        <v>2754</v>
      </c>
      <c r="F97" t="s">
        <v>2753</v>
      </c>
      <c r="G97" t="s">
        <v>161</v>
      </c>
      <c r="H97" t="s">
        <v>2603</v>
      </c>
      <c r="I97" t="s">
        <v>2603</v>
      </c>
      <c r="J97" t="s">
        <v>2741</v>
      </c>
      <c r="M97" t="s">
        <v>161</v>
      </c>
      <c r="N97" s="54">
        <v>45345.731157407405</v>
      </c>
      <c r="O97" s="54"/>
      <c r="P97" s="54"/>
      <c r="Q97" t="s">
        <v>2613</v>
      </c>
      <c r="R97" t="s">
        <v>161</v>
      </c>
    </row>
    <row r="98" spans="1:18" x14ac:dyDescent="0.3">
      <c r="A98" t="s">
        <v>884</v>
      </c>
      <c r="B98" t="s">
        <v>2751</v>
      </c>
      <c r="C98" t="s">
        <v>2578</v>
      </c>
      <c r="D98" t="s">
        <v>2610</v>
      </c>
      <c r="E98" t="s">
        <v>2755</v>
      </c>
      <c r="F98" t="s">
        <v>2753</v>
      </c>
      <c r="G98" t="s">
        <v>161</v>
      </c>
      <c r="H98" t="s">
        <v>2603</v>
      </c>
      <c r="I98" t="s">
        <v>2603</v>
      </c>
      <c r="J98" t="s">
        <v>2741</v>
      </c>
      <c r="M98" t="s">
        <v>161</v>
      </c>
      <c r="N98" s="54">
        <v>45204.719571759262</v>
      </c>
      <c r="O98" s="54"/>
      <c r="P98" s="54"/>
      <c r="Q98" t="s">
        <v>2613</v>
      </c>
      <c r="R98" t="s">
        <v>161</v>
      </c>
    </row>
    <row r="99" spans="1:18" x14ac:dyDescent="0.3">
      <c r="A99" t="s">
        <v>884</v>
      </c>
      <c r="B99" t="s">
        <v>2756</v>
      </c>
      <c r="C99" t="s">
        <v>2578</v>
      </c>
      <c r="D99" t="s">
        <v>2610</v>
      </c>
      <c r="E99" t="s">
        <v>2757</v>
      </c>
      <c r="F99" t="s">
        <v>2735</v>
      </c>
      <c r="G99" t="s">
        <v>161</v>
      </c>
      <c r="H99" t="s">
        <v>2703</v>
      </c>
      <c r="I99" t="s">
        <v>2731</v>
      </c>
      <c r="J99" t="s">
        <v>2732</v>
      </c>
      <c r="M99" t="s">
        <v>161</v>
      </c>
      <c r="N99" s="54">
        <v>45010.760231481479</v>
      </c>
      <c r="O99" s="54"/>
      <c r="P99" s="54"/>
      <c r="Q99" t="s">
        <v>2613</v>
      </c>
      <c r="R99" t="s">
        <v>161</v>
      </c>
    </row>
    <row r="100" spans="1:18" x14ac:dyDescent="0.3">
      <c r="A100" t="s">
        <v>884</v>
      </c>
      <c r="B100" t="s">
        <v>2756</v>
      </c>
      <c r="C100" t="s">
        <v>2578</v>
      </c>
      <c r="D100" t="s">
        <v>2610</v>
      </c>
      <c r="E100" t="s">
        <v>2758</v>
      </c>
      <c r="F100" t="s">
        <v>2735</v>
      </c>
      <c r="G100" t="s">
        <v>161</v>
      </c>
      <c r="H100" t="s">
        <v>2703</v>
      </c>
      <c r="I100" t="s">
        <v>2731</v>
      </c>
      <c r="J100" t="s">
        <v>2732</v>
      </c>
      <c r="M100" t="s">
        <v>161</v>
      </c>
      <c r="N100" s="54">
        <v>45010.760381944441</v>
      </c>
      <c r="O100" s="54"/>
      <c r="P100" s="54"/>
      <c r="Q100" t="s">
        <v>2613</v>
      </c>
      <c r="R100" t="s">
        <v>161</v>
      </c>
    </row>
    <row r="101" spans="1:18" x14ac:dyDescent="0.3">
      <c r="A101" t="s">
        <v>884</v>
      </c>
      <c r="B101" t="s">
        <v>2756</v>
      </c>
      <c r="C101" t="s">
        <v>2578</v>
      </c>
      <c r="D101" t="s">
        <v>2610</v>
      </c>
      <c r="E101" t="s">
        <v>2759</v>
      </c>
      <c r="F101" t="s">
        <v>2760</v>
      </c>
      <c r="G101" t="s">
        <v>161</v>
      </c>
      <c r="H101" t="s">
        <v>2591</v>
      </c>
      <c r="I101" t="s">
        <v>2592</v>
      </c>
      <c r="J101" t="s">
        <v>2593</v>
      </c>
      <c r="M101" t="s">
        <v>161</v>
      </c>
      <c r="N101" s="54">
        <v>45786.651365740741</v>
      </c>
      <c r="O101" s="54"/>
      <c r="P101" s="54"/>
      <c r="Q101" t="s">
        <v>2613</v>
      </c>
      <c r="R101" t="s">
        <v>161</v>
      </c>
    </row>
    <row r="102" spans="1:18" x14ac:dyDescent="0.3">
      <c r="A102" t="s">
        <v>884</v>
      </c>
      <c r="B102" t="s">
        <v>2756</v>
      </c>
      <c r="C102" t="s">
        <v>2578</v>
      </c>
      <c r="D102" t="s">
        <v>2610</v>
      </c>
      <c r="E102" t="s">
        <v>2761</v>
      </c>
      <c r="F102" t="s">
        <v>2760</v>
      </c>
      <c r="G102" t="s">
        <v>161</v>
      </c>
      <c r="H102" t="s">
        <v>2591</v>
      </c>
      <c r="I102" t="s">
        <v>2592</v>
      </c>
      <c r="J102" t="s">
        <v>2593</v>
      </c>
      <c r="M102" t="s">
        <v>161</v>
      </c>
      <c r="N102" s="54">
        <v>45875.380474537036</v>
      </c>
      <c r="O102" s="54"/>
      <c r="P102" s="54"/>
      <c r="Q102" t="s">
        <v>2613</v>
      </c>
      <c r="R102" t="s">
        <v>161</v>
      </c>
    </row>
    <row r="103" spans="1:18" x14ac:dyDescent="0.3">
      <c r="A103" t="s">
        <v>884</v>
      </c>
      <c r="B103" t="s">
        <v>2762</v>
      </c>
      <c r="C103" t="s">
        <v>2578</v>
      </c>
      <c r="D103" t="s">
        <v>2610</v>
      </c>
      <c r="E103" t="s">
        <v>2763</v>
      </c>
      <c r="F103" t="s">
        <v>2760</v>
      </c>
      <c r="G103" t="s">
        <v>161</v>
      </c>
      <c r="H103" t="s">
        <v>2591</v>
      </c>
      <c r="I103" t="s">
        <v>2689</v>
      </c>
      <c r="J103" t="s">
        <v>2690</v>
      </c>
      <c r="M103" t="s">
        <v>161</v>
      </c>
      <c r="N103" s="54">
        <v>45015</v>
      </c>
      <c r="O103" s="54"/>
      <c r="P103" s="54"/>
      <c r="Q103" t="s">
        <v>2613</v>
      </c>
      <c r="R103" t="s">
        <v>161</v>
      </c>
    </row>
    <row r="104" spans="1:18" x14ac:dyDescent="0.3">
      <c r="A104" t="s">
        <v>884</v>
      </c>
      <c r="B104" t="s">
        <v>2762</v>
      </c>
      <c r="C104" t="s">
        <v>2578</v>
      </c>
      <c r="D104" t="s">
        <v>2610</v>
      </c>
      <c r="E104" t="s">
        <v>2764</v>
      </c>
      <c r="F104" t="s">
        <v>2760</v>
      </c>
      <c r="G104" t="s">
        <v>161</v>
      </c>
      <c r="H104" t="s">
        <v>2591</v>
      </c>
      <c r="I104" t="s">
        <v>2689</v>
      </c>
      <c r="J104" t="s">
        <v>2690</v>
      </c>
      <c r="M104" t="s">
        <v>161</v>
      </c>
      <c r="N104" s="54">
        <v>45015</v>
      </c>
      <c r="O104" s="54"/>
      <c r="P104" s="54"/>
      <c r="Q104" t="s">
        <v>2613</v>
      </c>
      <c r="R104" t="s">
        <v>161</v>
      </c>
    </row>
    <row r="105" spans="1:18" x14ac:dyDescent="0.3">
      <c r="A105" t="s">
        <v>884</v>
      </c>
      <c r="B105" t="s">
        <v>2765</v>
      </c>
      <c r="C105" t="s">
        <v>2578</v>
      </c>
      <c r="D105" t="s">
        <v>2610</v>
      </c>
      <c r="E105" t="s">
        <v>2766</v>
      </c>
      <c r="F105" t="s">
        <v>2590</v>
      </c>
      <c r="G105" t="s">
        <v>161</v>
      </c>
      <c r="H105" t="s">
        <v>2603</v>
      </c>
      <c r="I105" t="s">
        <v>2603</v>
      </c>
      <c r="J105" t="s">
        <v>2741</v>
      </c>
      <c r="M105" t="s">
        <v>161</v>
      </c>
      <c r="N105" s="54">
        <v>45010.79146990741</v>
      </c>
      <c r="O105" s="54"/>
      <c r="P105" s="54"/>
      <c r="Q105" t="s">
        <v>2613</v>
      </c>
      <c r="R105" t="s">
        <v>161</v>
      </c>
    </row>
    <row r="106" spans="1:18" x14ac:dyDescent="0.3">
      <c r="A106" t="s">
        <v>884</v>
      </c>
      <c r="B106" t="s">
        <v>2765</v>
      </c>
      <c r="C106" t="s">
        <v>2578</v>
      </c>
      <c r="D106" t="s">
        <v>2610</v>
      </c>
      <c r="E106" t="s">
        <v>2767</v>
      </c>
      <c r="F106" t="s">
        <v>2590</v>
      </c>
      <c r="G106" t="s">
        <v>161</v>
      </c>
      <c r="H106" t="s">
        <v>2603</v>
      </c>
      <c r="I106" t="s">
        <v>2603</v>
      </c>
      <c r="J106" t="s">
        <v>2741</v>
      </c>
      <c r="M106" t="s">
        <v>161</v>
      </c>
      <c r="N106" s="54">
        <v>45649.277650462966</v>
      </c>
      <c r="O106" s="54"/>
      <c r="P106" s="54"/>
      <c r="Q106" t="s">
        <v>2613</v>
      </c>
      <c r="R106" t="s">
        <v>161</v>
      </c>
    </row>
    <row r="107" spans="1:18" x14ac:dyDescent="0.3">
      <c r="A107" t="s">
        <v>884</v>
      </c>
      <c r="B107" t="s">
        <v>2768</v>
      </c>
      <c r="C107" t="s">
        <v>2578</v>
      </c>
      <c r="D107" t="s">
        <v>2610</v>
      </c>
      <c r="E107" t="s">
        <v>2769</v>
      </c>
      <c r="F107" t="s">
        <v>2590</v>
      </c>
      <c r="G107" t="s">
        <v>161</v>
      </c>
      <c r="H107" t="s">
        <v>2603</v>
      </c>
      <c r="I107" t="s">
        <v>2603</v>
      </c>
      <c r="J107" t="s">
        <v>2741</v>
      </c>
      <c r="M107" t="s">
        <v>161</v>
      </c>
      <c r="N107" s="54">
        <v>45010.784895833334</v>
      </c>
      <c r="O107" s="54"/>
      <c r="P107" s="54"/>
      <c r="Q107" t="s">
        <v>2613</v>
      </c>
      <c r="R107" t="s">
        <v>161</v>
      </c>
    </row>
    <row r="108" spans="1:18" x14ac:dyDescent="0.3">
      <c r="A108" t="s">
        <v>884</v>
      </c>
      <c r="B108" t="s">
        <v>2768</v>
      </c>
      <c r="C108" t="s">
        <v>2578</v>
      </c>
      <c r="D108" t="s">
        <v>2610</v>
      </c>
      <c r="E108" t="s">
        <v>2770</v>
      </c>
      <c r="F108" t="s">
        <v>2590</v>
      </c>
      <c r="G108" t="s">
        <v>161</v>
      </c>
      <c r="H108" t="s">
        <v>2603</v>
      </c>
      <c r="I108" t="s">
        <v>2603</v>
      </c>
      <c r="J108" t="s">
        <v>2741</v>
      </c>
      <c r="M108" t="s">
        <v>161</v>
      </c>
      <c r="N108" s="54">
        <v>45010.785034722219</v>
      </c>
      <c r="O108" s="54"/>
      <c r="P108" s="54"/>
      <c r="Q108" t="s">
        <v>2613</v>
      </c>
      <c r="R108" t="s">
        <v>161</v>
      </c>
    </row>
    <row r="109" spans="1:18" x14ac:dyDescent="0.3">
      <c r="A109" t="s">
        <v>884</v>
      </c>
      <c r="B109" t="s">
        <v>2768</v>
      </c>
      <c r="C109" t="s">
        <v>2578</v>
      </c>
      <c r="D109" t="s">
        <v>2610</v>
      </c>
      <c r="E109" t="s">
        <v>2771</v>
      </c>
      <c r="F109" t="s">
        <v>2590</v>
      </c>
      <c r="G109" t="s">
        <v>161</v>
      </c>
      <c r="H109" t="s">
        <v>2603</v>
      </c>
      <c r="I109" t="s">
        <v>2603</v>
      </c>
      <c r="J109" t="s">
        <v>2741</v>
      </c>
      <c r="M109" t="s">
        <v>161</v>
      </c>
      <c r="N109" s="54">
        <v>45010.785162037035</v>
      </c>
      <c r="O109" s="54"/>
      <c r="P109" s="54"/>
      <c r="Q109" t="s">
        <v>2613</v>
      </c>
      <c r="R109" t="s">
        <v>161</v>
      </c>
    </row>
    <row r="110" spans="1:18" x14ac:dyDescent="0.3">
      <c r="A110" t="s">
        <v>884</v>
      </c>
      <c r="B110" t="s">
        <v>2768</v>
      </c>
      <c r="C110" t="s">
        <v>2578</v>
      </c>
      <c r="D110" t="s">
        <v>2610</v>
      </c>
      <c r="E110" t="s">
        <v>2772</v>
      </c>
      <c r="F110" t="s">
        <v>2590</v>
      </c>
      <c r="G110" t="s">
        <v>161</v>
      </c>
      <c r="H110" t="s">
        <v>2603</v>
      </c>
      <c r="I110" t="s">
        <v>2603</v>
      </c>
      <c r="J110" t="s">
        <v>2773</v>
      </c>
      <c r="M110" t="s">
        <v>161</v>
      </c>
      <c r="N110" s="54">
        <v>45015</v>
      </c>
      <c r="O110" s="54"/>
      <c r="P110" s="54"/>
      <c r="Q110" t="s">
        <v>2613</v>
      </c>
      <c r="R110" t="s">
        <v>161</v>
      </c>
    </row>
    <row r="111" spans="1:18" x14ac:dyDescent="0.3">
      <c r="A111" t="s">
        <v>884</v>
      </c>
      <c r="B111" t="s">
        <v>2768</v>
      </c>
      <c r="C111" t="s">
        <v>2578</v>
      </c>
      <c r="D111" t="s">
        <v>2610</v>
      </c>
      <c r="E111" t="s">
        <v>2774</v>
      </c>
      <c r="F111" t="s">
        <v>2590</v>
      </c>
      <c r="G111" t="s">
        <v>161</v>
      </c>
      <c r="H111" t="s">
        <v>2603</v>
      </c>
      <c r="I111" t="s">
        <v>2603</v>
      </c>
      <c r="J111" t="s">
        <v>2773</v>
      </c>
      <c r="M111" t="s">
        <v>161</v>
      </c>
      <c r="N111" s="54">
        <v>45740.356365740743</v>
      </c>
      <c r="O111" s="54"/>
      <c r="P111" s="54"/>
      <c r="Q111" t="s">
        <v>2613</v>
      </c>
      <c r="R111" t="s">
        <v>161</v>
      </c>
    </row>
    <row r="112" spans="1:18" x14ac:dyDescent="0.3">
      <c r="A112" t="s">
        <v>884</v>
      </c>
      <c r="B112" t="s">
        <v>2768</v>
      </c>
      <c r="C112" t="s">
        <v>2578</v>
      </c>
      <c r="D112" t="s">
        <v>2610</v>
      </c>
      <c r="E112" t="s">
        <v>2775</v>
      </c>
      <c r="F112" t="s">
        <v>2590</v>
      </c>
      <c r="G112" t="s">
        <v>161</v>
      </c>
      <c r="H112" t="s">
        <v>2603</v>
      </c>
      <c r="I112" t="s">
        <v>2603</v>
      </c>
      <c r="J112" t="s">
        <v>2773</v>
      </c>
      <c r="M112" t="s">
        <v>161</v>
      </c>
      <c r="N112" s="54">
        <v>45011.505277777775</v>
      </c>
      <c r="O112" s="54"/>
      <c r="P112" s="54"/>
      <c r="Q112" t="s">
        <v>2613</v>
      </c>
      <c r="R112" t="s">
        <v>161</v>
      </c>
    </row>
    <row r="113" spans="1:18" x14ac:dyDescent="0.3">
      <c r="A113" t="s">
        <v>884</v>
      </c>
      <c r="B113" t="s">
        <v>2776</v>
      </c>
      <c r="C113" t="s">
        <v>2578</v>
      </c>
      <c r="D113" t="s">
        <v>2610</v>
      </c>
      <c r="E113" t="s">
        <v>2777</v>
      </c>
      <c r="F113" t="s">
        <v>2590</v>
      </c>
      <c r="G113" t="s">
        <v>161</v>
      </c>
      <c r="H113" t="s">
        <v>2603</v>
      </c>
      <c r="I113" t="s">
        <v>2603</v>
      </c>
      <c r="J113" t="s">
        <v>2741</v>
      </c>
      <c r="M113" t="s">
        <v>161</v>
      </c>
      <c r="N113" s="54">
        <v>45010.785486111112</v>
      </c>
      <c r="O113" s="54"/>
      <c r="P113" s="54"/>
      <c r="Q113" t="s">
        <v>2613</v>
      </c>
      <c r="R113" t="s">
        <v>161</v>
      </c>
    </row>
    <row r="114" spans="1:18" x14ac:dyDescent="0.3">
      <c r="A114" t="s">
        <v>884</v>
      </c>
      <c r="B114" t="s">
        <v>2776</v>
      </c>
      <c r="C114" t="s">
        <v>2578</v>
      </c>
      <c r="D114" t="s">
        <v>2610</v>
      </c>
      <c r="E114" t="s">
        <v>2778</v>
      </c>
      <c r="F114" t="s">
        <v>2590</v>
      </c>
      <c r="G114" t="s">
        <v>161</v>
      </c>
      <c r="H114" t="s">
        <v>2603</v>
      </c>
      <c r="I114" t="s">
        <v>2603</v>
      </c>
      <c r="J114" t="s">
        <v>2741</v>
      </c>
      <c r="M114" t="s">
        <v>161</v>
      </c>
      <c r="N114" s="54">
        <v>45010.785636574074</v>
      </c>
      <c r="O114" s="54"/>
      <c r="P114" s="54"/>
      <c r="Q114" t="s">
        <v>2613</v>
      </c>
      <c r="R114" t="s">
        <v>161</v>
      </c>
    </row>
    <row r="115" spans="1:18" x14ac:dyDescent="0.3">
      <c r="A115" t="s">
        <v>884</v>
      </c>
      <c r="B115" t="s">
        <v>2776</v>
      </c>
      <c r="C115" t="s">
        <v>2578</v>
      </c>
      <c r="D115" t="s">
        <v>2610</v>
      </c>
      <c r="E115" t="s">
        <v>2779</v>
      </c>
      <c r="F115" t="s">
        <v>2590</v>
      </c>
      <c r="G115" t="s">
        <v>161</v>
      </c>
      <c r="H115" t="s">
        <v>2603</v>
      </c>
      <c r="I115" t="s">
        <v>2603</v>
      </c>
      <c r="J115" t="s">
        <v>2741</v>
      </c>
      <c r="M115" t="s">
        <v>161</v>
      </c>
      <c r="N115" s="54">
        <v>45010.785821759258</v>
      </c>
      <c r="O115" s="54"/>
      <c r="P115" s="54"/>
      <c r="Q115" t="s">
        <v>2613</v>
      </c>
      <c r="R115" t="s">
        <v>161</v>
      </c>
    </row>
    <row r="116" spans="1:18" x14ac:dyDescent="0.3">
      <c r="A116" t="s">
        <v>884</v>
      </c>
      <c r="B116" t="s">
        <v>2776</v>
      </c>
      <c r="C116" t="s">
        <v>2578</v>
      </c>
      <c r="D116" t="s">
        <v>2610</v>
      </c>
      <c r="E116" t="s">
        <v>2780</v>
      </c>
      <c r="F116" t="s">
        <v>2590</v>
      </c>
      <c r="G116" t="s">
        <v>161</v>
      </c>
      <c r="H116" t="s">
        <v>2603</v>
      </c>
      <c r="I116" t="s">
        <v>2603</v>
      </c>
      <c r="J116" t="s">
        <v>2741</v>
      </c>
      <c r="M116" t="s">
        <v>161</v>
      </c>
      <c r="N116" s="54">
        <v>45384.76021990741</v>
      </c>
      <c r="O116" s="54"/>
      <c r="P116" s="54"/>
      <c r="Q116" t="s">
        <v>2613</v>
      </c>
      <c r="R116" t="s">
        <v>161</v>
      </c>
    </row>
    <row r="117" spans="1:18" x14ac:dyDescent="0.3">
      <c r="A117" t="s">
        <v>884</v>
      </c>
      <c r="B117" t="s">
        <v>2776</v>
      </c>
      <c r="C117" t="s">
        <v>2578</v>
      </c>
      <c r="D117" t="s">
        <v>2610</v>
      </c>
      <c r="E117" t="s">
        <v>2781</v>
      </c>
      <c r="F117" t="s">
        <v>2590</v>
      </c>
      <c r="G117" t="s">
        <v>161</v>
      </c>
      <c r="H117" t="s">
        <v>2603</v>
      </c>
      <c r="I117" t="s">
        <v>2603</v>
      </c>
      <c r="J117" t="s">
        <v>2741</v>
      </c>
      <c r="M117" t="s">
        <v>161</v>
      </c>
      <c r="N117" s="54">
        <v>45663.687083333331</v>
      </c>
      <c r="O117" s="54"/>
      <c r="P117" s="54"/>
      <c r="Q117" t="s">
        <v>2613</v>
      </c>
      <c r="R117" t="s">
        <v>161</v>
      </c>
    </row>
    <row r="118" spans="1:18" x14ac:dyDescent="0.3">
      <c r="A118" t="s">
        <v>884</v>
      </c>
      <c r="B118" t="s">
        <v>2776</v>
      </c>
      <c r="C118" t="s">
        <v>2578</v>
      </c>
      <c r="D118" t="s">
        <v>2610</v>
      </c>
      <c r="E118" t="s">
        <v>2782</v>
      </c>
      <c r="F118" t="s">
        <v>2590</v>
      </c>
      <c r="G118" t="s">
        <v>161</v>
      </c>
      <c r="H118" t="s">
        <v>2603</v>
      </c>
      <c r="I118" t="s">
        <v>2603</v>
      </c>
      <c r="J118" t="s">
        <v>2741</v>
      </c>
      <c r="M118" t="s">
        <v>161</v>
      </c>
      <c r="N118" s="54">
        <v>45835.629537037035</v>
      </c>
      <c r="O118" s="54"/>
      <c r="P118" s="54"/>
      <c r="Q118" t="s">
        <v>2613</v>
      </c>
      <c r="R118" t="s">
        <v>161</v>
      </c>
    </row>
    <row r="119" spans="1:18" x14ac:dyDescent="0.3">
      <c r="A119" t="s">
        <v>884</v>
      </c>
      <c r="B119" t="s">
        <v>2776</v>
      </c>
      <c r="C119" t="s">
        <v>2578</v>
      </c>
      <c r="D119" t="s">
        <v>2610</v>
      </c>
      <c r="E119" t="s">
        <v>2783</v>
      </c>
      <c r="F119" t="s">
        <v>2590</v>
      </c>
      <c r="G119" t="s">
        <v>161</v>
      </c>
      <c r="H119" t="s">
        <v>2603</v>
      </c>
      <c r="I119" t="s">
        <v>2603</v>
      </c>
      <c r="J119" t="s">
        <v>2741</v>
      </c>
      <c r="M119" t="s">
        <v>161</v>
      </c>
      <c r="N119" s="54">
        <v>45730.768182870372</v>
      </c>
      <c r="O119" s="54"/>
      <c r="P119" s="54"/>
      <c r="Q119" t="s">
        <v>2613</v>
      </c>
      <c r="R119" t="s">
        <v>161</v>
      </c>
    </row>
    <row r="120" spans="1:18" x14ac:dyDescent="0.3">
      <c r="A120" t="s">
        <v>884</v>
      </c>
      <c r="B120" t="s">
        <v>2776</v>
      </c>
      <c r="C120" t="s">
        <v>2578</v>
      </c>
      <c r="D120" t="s">
        <v>2610</v>
      </c>
      <c r="E120" t="s">
        <v>2784</v>
      </c>
      <c r="F120" t="s">
        <v>2590</v>
      </c>
      <c r="G120" t="s">
        <v>161</v>
      </c>
      <c r="H120" t="s">
        <v>2603</v>
      </c>
      <c r="I120" t="s">
        <v>2603</v>
      </c>
      <c r="J120" t="s">
        <v>2741</v>
      </c>
      <c r="M120" t="s">
        <v>161</v>
      </c>
      <c r="N120" s="54">
        <v>45010.804456018515</v>
      </c>
      <c r="O120" s="54"/>
      <c r="P120" s="54"/>
      <c r="Q120" t="s">
        <v>2613</v>
      </c>
      <c r="R120" t="s">
        <v>161</v>
      </c>
    </row>
    <row r="121" spans="1:18" x14ac:dyDescent="0.3">
      <c r="A121" t="s">
        <v>884</v>
      </c>
      <c r="B121" t="s">
        <v>2776</v>
      </c>
      <c r="C121" t="s">
        <v>2578</v>
      </c>
      <c r="D121" t="s">
        <v>2610</v>
      </c>
      <c r="E121" t="s">
        <v>2785</v>
      </c>
      <c r="F121" t="s">
        <v>2590</v>
      </c>
      <c r="G121" t="s">
        <v>161</v>
      </c>
      <c r="H121" t="s">
        <v>2603</v>
      </c>
      <c r="I121" t="s">
        <v>2603</v>
      </c>
      <c r="J121" t="s">
        <v>2741</v>
      </c>
      <c r="M121" t="s">
        <v>161</v>
      </c>
      <c r="N121" s="54">
        <v>45621.467152777775</v>
      </c>
      <c r="O121" s="54"/>
      <c r="P121" s="54"/>
      <c r="Q121" t="s">
        <v>2613</v>
      </c>
      <c r="R121" t="s">
        <v>161</v>
      </c>
    </row>
    <row r="122" spans="1:18" x14ac:dyDescent="0.3">
      <c r="A122" t="s">
        <v>884</v>
      </c>
      <c r="B122" t="s">
        <v>2786</v>
      </c>
      <c r="C122" t="s">
        <v>2578</v>
      </c>
      <c r="D122" t="s">
        <v>2610</v>
      </c>
      <c r="E122" t="s">
        <v>2787</v>
      </c>
      <c r="F122" t="s">
        <v>2590</v>
      </c>
      <c r="G122" t="s">
        <v>161</v>
      </c>
      <c r="H122" t="s">
        <v>2603</v>
      </c>
      <c r="I122" t="s">
        <v>2603</v>
      </c>
      <c r="J122" t="s">
        <v>2741</v>
      </c>
      <c r="M122" t="s">
        <v>161</v>
      </c>
      <c r="N122" s="54">
        <v>45010.816990740743</v>
      </c>
      <c r="O122" s="54"/>
      <c r="P122" s="54"/>
      <c r="Q122" t="s">
        <v>2613</v>
      </c>
      <c r="R122" t="s">
        <v>161</v>
      </c>
    </row>
    <row r="123" spans="1:18" x14ac:dyDescent="0.3">
      <c r="A123" t="s">
        <v>884</v>
      </c>
      <c r="B123" t="s">
        <v>2786</v>
      </c>
      <c r="C123" t="s">
        <v>2578</v>
      </c>
      <c r="D123" t="s">
        <v>2610</v>
      </c>
      <c r="E123" t="s">
        <v>2788</v>
      </c>
      <c r="F123" t="s">
        <v>2590</v>
      </c>
      <c r="G123" t="s">
        <v>161</v>
      </c>
      <c r="H123" t="s">
        <v>2603</v>
      </c>
      <c r="I123" t="s">
        <v>2603</v>
      </c>
      <c r="J123" t="s">
        <v>2741</v>
      </c>
      <c r="M123" t="s">
        <v>161</v>
      </c>
      <c r="N123" s="54">
        <v>45010.817210648151</v>
      </c>
      <c r="O123" s="54"/>
      <c r="P123" s="54"/>
      <c r="Q123" t="s">
        <v>2613</v>
      </c>
      <c r="R123" t="s">
        <v>161</v>
      </c>
    </row>
    <row r="124" spans="1:18" x14ac:dyDescent="0.3">
      <c r="A124" t="s">
        <v>884</v>
      </c>
      <c r="B124" t="s">
        <v>2786</v>
      </c>
      <c r="C124" t="s">
        <v>2578</v>
      </c>
      <c r="D124" t="s">
        <v>2610</v>
      </c>
      <c r="E124" t="s">
        <v>2789</v>
      </c>
      <c r="F124" t="s">
        <v>2590</v>
      </c>
      <c r="G124" t="s">
        <v>161</v>
      </c>
      <c r="H124" t="s">
        <v>2603</v>
      </c>
      <c r="I124" t="s">
        <v>2603</v>
      </c>
      <c r="J124" t="s">
        <v>2741</v>
      </c>
      <c r="M124" t="s">
        <v>161</v>
      </c>
      <c r="N124" s="54">
        <v>45010.817349537036</v>
      </c>
      <c r="O124" s="54"/>
      <c r="P124" s="54"/>
      <c r="Q124" t="s">
        <v>2613</v>
      </c>
      <c r="R124" t="s">
        <v>161</v>
      </c>
    </row>
    <row r="125" spans="1:18" x14ac:dyDescent="0.3">
      <c r="A125" t="s">
        <v>884</v>
      </c>
      <c r="B125" t="s">
        <v>2790</v>
      </c>
      <c r="C125" t="s">
        <v>2578</v>
      </c>
      <c r="D125" t="s">
        <v>2610</v>
      </c>
      <c r="E125" t="s">
        <v>2791</v>
      </c>
      <c r="F125" t="s">
        <v>2598</v>
      </c>
      <c r="G125" t="s">
        <v>161</v>
      </c>
      <c r="H125" t="s">
        <v>2603</v>
      </c>
      <c r="I125" t="s">
        <v>2603</v>
      </c>
      <c r="J125" t="s">
        <v>2741</v>
      </c>
      <c r="M125" t="s">
        <v>161</v>
      </c>
      <c r="N125" s="54">
        <v>45010.808078703703</v>
      </c>
      <c r="O125" s="54"/>
      <c r="P125" s="54"/>
      <c r="Q125" t="s">
        <v>2613</v>
      </c>
      <c r="R125" t="s">
        <v>161</v>
      </c>
    </row>
    <row r="126" spans="1:18" x14ac:dyDescent="0.3">
      <c r="A126" t="s">
        <v>884</v>
      </c>
      <c r="B126" t="s">
        <v>2790</v>
      </c>
      <c r="C126" t="s">
        <v>2578</v>
      </c>
      <c r="D126" t="s">
        <v>2610</v>
      </c>
      <c r="E126" t="s">
        <v>2792</v>
      </c>
      <c r="F126" t="s">
        <v>2598</v>
      </c>
      <c r="G126" t="s">
        <v>161</v>
      </c>
      <c r="H126" t="s">
        <v>2603</v>
      </c>
      <c r="I126" t="s">
        <v>2603</v>
      </c>
      <c r="J126" t="s">
        <v>2741</v>
      </c>
      <c r="M126" t="s">
        <v>161</v>
      </c>
      <c r="N126" s="54">
        <v>45010.808275462965</v>
      </c>
      <c r="O126" s="54"/>
      <c r="P126" s="54"/>
      <c r="Q126" t="s">
        <v>2613</v>
      </c>
      <c r="R126" t="s">
        <v>161</v>
      </c>
    </row>
    <row r="127" spans="1:18" x14ac:dyDescent="0.3">
      <c r="A127" t="s">
        <v>884</v>
      </c>
      <c r="B127" t="s">
        <v>2793</v>
      </c>
      <c r="C127" t="s">
        <v>2578</v>
      </c>
      <c r="D127" t="s">
        <v>2610</v>
      </c>
      <c r="E127" t="s">
        <v>2794</v>
      </c>
      <c r="F127" t="s">
        <v>2598</v>
      </c>
      <c r="G127" t="s">
        <v>161</v>
      </c>
      <c r="H127" t="s">
        <v>2591</v>
      </c>
      <c r="I127" t="s">
        <v>2592</v>
      </c>
      <c r="J127" t="s">
        <v>2593</v>
      </c>
      <c r="M127" t="s">
        <v>161</v>
      </c>
      <c r="N127" s="54">
        <v>45010.710115740738</v>
      </c>
      <c r="O127" s="54"/>
      <c r="P127" s="54"/>
      <c r="Q127" t="s">
        <v>2613</v>
      </c>
      <c r="R127" t="s">
        <v>161</v>
      </c>
    </row>
    <row r="128" spans="1:18" x14ac:dyDescent="0.3">
      <c r="A128" t="s">
        <v>884</v>
      </c>
      <c r="B128" t="s">
        <v>2793</v>
      </c>
      <c r="C128" t="s">
        <v>2578</v>
      </c>
      <c r="D128" t="s">
        <v>2610</v>
      </c>
      <c r="E128" t="s">
        <v>2795</v>
      </c>
      <c r="F128" t="s">
        <v>2598</v>
      </c>
      <c r="G128" t="s">
        <v>161</v>
      </c>
      <c r="H128" t="s">
        <v>2591</v>
      </c>
      <c r="I128" t="s">
        <v>2592</v>
      </c>
      <c r="J128" t="s">
        <v>2593</v>
      </c>
      <c r="M128" t="s">
        <v>161</v>
      </c>
      <c r="N128" s="54">
        <v>45010.710289351853</v>
      </c>
      <c r="O128" s="54"/>
      <c r="P128" s="54"/>
      <c r="Q128" t="s">
        <v>2613</v>
      </c>
      <c r="R128" t="s">
        <v>161</v>
      </c>
    </row>
    <row r="129" spans="1:18" x14ac:dyDescent="0.3">
      <c r="A129" t="s">
        <v>884</v>
      </c>
      <c r="B129" t="s">
        <v>2793</v>
      </c>
      <c r="C129" t="s">
        <v>2578</v>
      </c>
      <c r="D129" t="s">
        <v>2610</v>
      </c>
      <c r="E129" t="s">
        <v>2796</v>
      </c>
      <c r="F129" t="s">
        <v>2590</v>
      </c>
      <c r="G129" t="s">
        <v>161</v>
      </c>
      <c r="H129" t="s">
        <v>2703</v>
      </c>
      <c r="I129" t="s">
        <v>2704</v>
      </c>
      <c r="J129" t="s">
        <v>2705</v>
      </c>
      <c r="M129" t="s">
        <v>161</v>
      </c>
      <c r="N129" s="54">
        <v>45212.655648148146</v>
      </c>
      <c r="O129" s="54"/>
      <c r="P129" s="54"/>
      <c r="Q129" t="s">
        <v>2613</v>
      </c>
      <c r="R129" t="s">
        <v>161</v>
      </c>
    </row>
    <row r="130" spans="1:18" x14ac:dyDescent="0.3">
      <c r="A130" t="s">
        <v>884</v>
      </c>
      <c r="B130" t="s">
        <v>2793</v>
      </c>
      <c r="C130" t="s">
        <v>2578</v>
      </c>
      <c r="D130" t="s">
        <v>2610</v>
      </c>
      <c r="E130" t="s">
        <v>2797</v>
      </c>
      <c r="F130" t="s">
        <v>2590</v>
      </c>
      <c r="G130" t="s">
        <v>161</v>
      </c>
      <c r="H130" t="s">
        <v>2703</v>
      </c>
      <c r="I130" t="s">
        <v>2704</v>
      </c>
      <c r="J130" t="s">
        <v>2705</v>
      </c>
      <c r="M130" t="s">
        <v>161</v>
      </c>
      <c r="N130" s="54">
        <v>45685.661446759259</v>
      </c>
      <c r="O130" s="54"/>
      <c r="P130" s="54"/>
      <c r="Q130" t="s">
        <v>2613</v>
      </c>
      <c r="R130" t="s">
        <v>161</v>
      </c>
    </row>
    <row r="131" spans="1:18" x14ac:dyDescent="0.3">
      <c r="A131" t="s">
        <v>884</v>
      </c>
      <c r="B131" t="s">
        <v>2798</v>
      </c>
      <c r="C131" t="s">
        <v>2578</v>
      </c>
      <c r="D131" t="s">
        <v>2610</v>
      </c>
      <c r="E131" t="s">
        <v>2799</v>
      </c>
      <c r="F131" t="s">
        <v>2590</v>
      </c>
      <c r="G131" t="s">
        <v>161</v>
      </c>
      <c r="H131" t="s">
        <v>2603</v>
      </c>
      <c r="I131" t="s">
        <v>2603</v>
      </c>
      <c r="J131" t="s">
        <v>2773</v>
      </c>
      <c r="M131" t="s">
        <v>161</v>
      </c>
      <c r="N131" s="54">
        <v>45887.403078703705</v>
      </c>
      <c r="O131" s="54"/>
      <c r="P131" s="54"/>
      <c r="Q131" t="s">
        <v>2613</v>
      </c>
      <c r="R131" t="s">
        <v>161</v>
      </c>
    </row>
    <row r="132" spans="1:18" x14ac:dyDescent="0.3">
      <c r="A132" t="s">
        <v>884</v>
      </c>
      <c r="B132" t="s">
        <v>2798</v>
      </c>
      <c r="C132" t="s">
        <v>2578</v>
      </c>
      <c r="D132" t="s">
        <v>2610</v>
      </c>
      <c r="E132" t="s">
        <v>2800</v>
      </c>
      <c r="F132" t="s">
        <v>2590</v>
      </c>
      <c r="G132" t="s">
        <v>161</v>
      </c>
      <c r="H132" t="s">
        <v>2603</v>
      </c>
      <c r="I132" t="s">
        <v>2603</v>
      </c>
      <c r="J132" t="s">
        <v>2773</v>
      </c>
      <c r="M132" t="s">
        <v>161</v>
      </c>
      <c r="N132" s="54">
        <v>45877.652314814812</v>
      </c>
      <c r="O132" s="54"/>
      <c r="P132" s="54"/>
      <c r="Q132" t="s">
        <v>2613</v>
      </c>
      <c r="R132" t="s">
        <v>161</v>
      </c>
    </row>
    <row r="133" spans="1:18" x14ac:dyDescent="0.3">
      <c r="A133" t="s">
        <v>884</v>
      </c>
      <c r="B133" t="s">
        <v>2798</v>
      </c>
      <c r="C133" t="s">
        <v>2578</v>
      </c>
      <c r="D133" t="s">
        <v>2610</v>
      </c>
      <c r="E133" t="s">
        <v>2801</v>
      </c>
      <c r="F133" t="s">
        <v>2590</v>
      </c>
      <c r="G133" t="s">
        <v>161</v>
      </c>
      <c r="H133" t="s">
        <v>2603</v>
      </c>
      <c r="I133" t="s">
        <v>2603</v>
      </c>
      <c r="J133" t="s">
        <v>2773</v>
      </c>
      <c r="M133" t="s">
        <v>161</v>
      </c>
      <c r="N133" s="54">
        <v>45763.575601851851</v>
      </c>
      <c r="O133" s="54"/>
      <c r="P133" s="54"/>
      <c r="Q133" t="s">
        <v>2613</v>
      </c>
      <c r="R133" t="s">
        <v>161</v>
      </c>
    </row>
    <row r="134" spans="1:18" x14ac:dyDescent="0.3">
      <c r="A134" t="s">
        <v>884</v>
      </c>
      <c r="B134" t="s">
        <v>2798</v>
      </c>
      <c r="C134" t="s">
        <v>2578</v>
      </c>
      <c r="D134" t="s">
        <v>2610</v>
      </c>
      <c r="E134" t="s">
        <v>2802</v>
      </c>
      <c r="F134" t="s">
        <v>2590</v>
      </c>
      <c r="G134" t="s">
        <v>161</v>
      </c>
      <c r="H134" t="s">
        <v>2603</v>
      </c>
      <c r="I134" t="s">
        <v>2603</v>
      </c>
      <c r="J134" t="s">
        <v>2773</v>
      </c>
      <c r="M134" t="s">
        <v>161</v>
      </c>
      <c r="N134" s="54">
        <v>45609.560497685183</v>
      </c>
      <c r="O134" s="54"/>
      <c r="P134" s="54"/>
      <c r="Q134" t="s">
        <v>2613</v>
      </c>
      <c r="R134" t="s">
        <v>161</v>
      </c>
    </row>
    <row r="135" spans="1:18" x14ac:dyDescent="0.3">
      <c r="A135" t="s">
        <v>884</v>
      </c>
      <c r="B135" t="s">
        <v>2798</v>
      </c>
      <c r="C135" t="s">
        <v>2578</v>
      </c>
      <c r="D135" t="s">
        <v>2610</v>
      </c>
      <c r="E135" t="s">
        <v>2803</v>
      </c>
      <c r="F135" t="s">
        <v>2590</v>
      </c>
      <c r="G135" t="s">
        <v>161</v>
      </c>
      <c r="H135" t="s">
        <v>2603</v>
      </c>
      <c r="I135" t="s">
        <v>2603</v>
      </c>
      <c r="J135" t="s">
        <v>2773</v>
      </c>
      <c r="M135" t="s">
        <v>161</v>
      </c>
      <c r="N135" s="54">
        <v>45723.681018518517</v>
      </c>
      <c r="O135" s="54"/>
      <c r="P135" s="54"/>
      <c r="Q135" t="s">
        <v>2613</v>
      </c>
      <c r="R135" t="s">
        <v>161</v>
      </c>
    </row>
    <row r="136" spans="1:18" x14ac:dyDescent="0.3">
      <c r="A136" t="s">
        <v>884</v>
      </c>
      <c r="B136" t="s">
        <v>2804</v>
      </c>
      <c r="C136" t="s">
        <v>2578</v>
      </c>
      <c r="D136" t="s">
        <v>2610</v>
      </c>
      <c r="E136" t="s">
        <v>2805</v>
      </c>
      <c r="F136" t="s">
        <v>2735</v>
      </c>
      <c r="G136" t="s">
        <v>161</v>
      </c>
      <c r="H136" t="s">
        <v>2703</v>
      </c>
      <c r="I136" t="s">
        <v>2731</v>
      </c>
      <c r="J136" t="s">
        <v>2732</v>
      </c>
      <c r="M136" t="s">
        <v>161</v>
      </c>
      <c r="N136" s="54">
        <v>45015</v>
      </c>
      <c r="O136" s="54"/>
      <c r="P136" s="54"/>
      <c r="Q136" t="s">
        <v>2613</v>
      </c>
      <c r="R136" t="s">
        <v>161</v>
      </c>
    </row>
    <row r="137" spans="1:18" x14ac:dyDescent="0.3">
      <c r="A137" t="s">
        <v>884</v>
      </c>
      <c r="B137" t="s">
        <v>2806</v>
      </c>
      <c r="C137" t="s">
        <v>2578</v>
      </c>
      <c r="D137" t="s">
        <v>2610</v>
      </c>
      <c r="E137" t="s">
        <v>2807</v>
      </c>
      <c r="F137" t="s">
        <v>2735</v>
      </c>
      <c r="G137" t="s">
        <v>161</v>
      </c>
      <c r="H137" t="s">
        <v>2703</v>
      </c>
      <c r="I137" t="s">
        <v>2731</v>
      </c>
      <c r="J137" t="s">
        <v>2732</v>
      </c>
      <c r="M137" t="s">
        <v>161</v>
      </c>
      <c r="N137" s="54">
        <v>45010.761701388888</v>
      </c>
      <c r="O137" s="54"/>
      <c r="P137" s="54"/>
      <c r="Q137" t="s">
        <v>2613</v>
      </c>
      <c r="R137" t="s">
        <v>161</v>
      </c>
    </row>
    <row r="138" spans="1:18" x14ac:dyDescent="0.3">
      <c r="A138" t="s">
        <v>884</v>
      </c>
      <c r="B138" t="s">
        <v>2806</v>
      </c>
      <c r="C138" t="s">
        <v>2578</v>
      </c>
      <c r="D138" t="s">
        <v>2610</v>
      </c>
      <c r="E138" t="s">
        <v>2808</v>
      </c>
      <c r="F138" t="s">
        <v>2735</v>
      </c>
      <c r="G138" t="s">
        <v>161</v>
      </c>
      <c r="H138" t="s">
        <v>2703</v>
      </c>
      <c r="I138" t="s">
        <v>2731</v>
      </c>
      <c r="J138" t="s">
        <v>2732</v>
      </c>
      <c r="M138" t="s">
        <v>161</v>
      </c>
      <c r="N138" s="54">
        <v>45695.406087962961</v>
      </c>
      <c r="O138" s="54"/>
      <c r="P138" s="54"/>
      <c r="Q138" t="s">
        <v>2613</v>
      </c>
      <c r="R138" t="s">
        <v>161</v>
      </c>
    </row>
    <row r="139" spans="1:18" x14ac:dyDescent="0.3">
      <c r="A139" t="s">
        <v>884</v>
      </c>
      <c r="B139" t="s">
        <v>2809</v>
      </c>
      <c r="C139" t="s">
        <v>2578</v>
      </c>
      <c r="D139" t="s">
        <v>2610</v>
      </c>
      <c r="E139" t="s">
        <v>2810</v>
      </c>
      <c r="F139" t="s">
        <v>2598</v>
      </c>
      <c r="G139" t="s">
        <v>161</v>
      </c>
      <c r="H139" t="s">
        <v>2591</v>
      </c>
      <c r="I139" t="s">
        <v>2592</v>
      </c>
      <c r="J139" t="s">
        <v>2593</v>
      </c>
      <c r="M139" t="s">
        <v>161</v>
      </c>
      <c r="N139" s="54">
        <v>45364.340775462966</v>
      </c>
      <c r="O139" s="54"/>
      <c r="P139" s="54"/>
      <c r="Q139" t="s">
        <v>2613</v>
      </c>
      <c r="R139" t="s">
        <v>161</v>
      </c>
    </row>
    <row r="140" spans="1:18" x14ac:dyDescent="0.3">
      <c r="A140" t="s">
        <v>884</v>
      </c>
      <c r="B140" t="s">
        <v>2809</v>
      </c>
      <c r="C140" t="s">
        <v>2578</v>
      </c>
      <c r="D140" t="s">
        <v>2610</v>
      </c>
      <c r="E140" t="s">
        <v>2811</v>
      </c>
      <c r="F140" t="s">
        <v>2598</v>
      </c>
      <c r="G140" t="s">
        <v>161</v>
      </c>
      <c r="H140" t="s">
        <v>2591</v>
      </c>
      <c r="I140" t="s">
        <v>2592</v>
      </c>
      <c r="J140" t="s">
        <v>2593</v>
      </c>
      <c r="M140" t="s">
        <v>161</v>
      </c>
      <c r="N140" s="54">
        <v>45817.440798611111</v>
      </c>
      <c r="O140" s="54"/>
      <c r="P140" s="54"/>
      <c r="Q140" t="s">
        <v>2613</v>
      </c>
      <c r="R140" t="s">
        <v>161</v>
      </c>
    </row>
    <row r="141" spans="1:18" x14ac:dyDescent="0.3">
      <c r="A141" t="s">
        <v>884</v>
      </c>
      <c r="B141" t="s">
        <v>2809</v>
      </c>
      <c r="C141" t="s">
        <v>2578</v>
      </c>
      <c r="D141" t="s">
        <v>2610</v>
      </c>
      <c r="E141" t="s">
        <v>2812</v>
      </c>
      <c r="F141" t="s">
        <v>2590</v>
      </c>
      <c r="G141" t="s">
        <v>161</v>
      </c>
      <c r="H141" t="s">
        <v>2694</v>
      </c>
      <c r="I141" t="s">
        <v>2695</v>
      </c>
      <c r="J141" t="s">
        <v>2696</v>
      </c>
      <c r="M141" t="s">
        <v>161</v>
      </c>
      <c r="N141" s="54">
        <v>45744.806168981479</v>
      </c>
      <c r="O141" s="54"/>
      <c r="P141" s="54"/>
      <c r="Q141" t="s">
        <v>2613</v>
      </c>
      <c r="R141" t="s">
        <v>161</v>
      </c>
    </row>
    <row r="142" spans="1:18" x14ac:dyDescent="0.3">
      <c r="A142" t="s">
        <v>884</v>
      </c>
      <c r="B142" t="s">
        <v>2809</v>
      </c>
      <c r="C142" t="s">
        <v>2578</v>
      </c>
      <c r="D142" t="s">
        <v>2610</v>
      </c>
      <c r="E142" t="s">
        <v>2813</v>
      </c>
      <c r="F142" t="s">
        <v>2590</v>
      </c>
      <c r="G142" t="s">
        <v>161</v>
      </c>
      <c r="H142" t="s">
        <v>2694</v>
      </c>
      <c r="I142" t="s">
        <v>2695</v>
      </c>
      <c r="J142" t="s">
        <v>2696</v>
      </c>
      <c r="M142" t="s">
        <v>161</v>
      </c>
      <c r="N142" s="54">
        <v>45574.909444444442</v>
      </c>
      <c r="O142" s="54"/>
      <c r="P142" s="54"/>
      <c r="Q142" t="s">
        <v>2613</v>
      </c>
      <c r="R142" t="s">
        <v>161</v>
      </c>
    </row>
    <row r="143" spans="1:18" x14ac:dyDescent="0.3">
      <c r="A143" t="s">
        <v>884</v>
      </c>
      <c r="B143" t="s">
        <v>2809</v>
      </c>
      <c r="C143" t="s">
        <v>2578</v>
      </c>
      <c r="D143" t="s">
        <v>2610</v>
      </c>
      <c r="E143" t="s">
        <v>2814</v>
      </c>
      <c r="F143" t="s">
        <v>2590</v>
      </c>
      <c r="G143" t="s">
        <v>161</v>
      </c>
      <c r="H143" t="s">
        <v>2703</v>
      </c>
      <c r="I143" t="s">
        <v>2704</v>
      </c>
      <c r="J143" t="s">
        <v>2705</v>
      </c>
      <c r="M143" t="s">
        <v>161</v>
      </c>
      <c r="N143" s="54">
        <v>45289.535856481481</v>
      </c>
      <c r="O143" s="54"/>
      <c r="P143" s="54"/>
      <c r="Q143" t="s">
        <v>2613</v>
      </c>
      <c r="R143" t="s">
        <v>161</v>
      </c>
    </row>
    <row r="144" spans="1:18" x14ac:dyDescent="0.3">
      <c r="A144" t="s">
        <v>884</v>
      </c>
      <c r="B144" t="s">
        <v>2809</v>
      </c>
      <c r="C144" t="s">
        <v>2578</v>
      </c>
      <c r="D144" t="s">
        <v>2610</v>
      </c>
      <c r="E144" t="s">
        <v>2815</v>
      </c>
      <c r="F144" t="s">
        <v>2590</v>
      </c>
      <c r="G144" t="s">
        <v>161</v>
      </c>
      <c r="H144" t="s">
        <v>2703</v>
      </c>
      <c r="I144" t="s">
        <v>2704</v>
      </c>
      <c r="J144" t="s">
        <v>2705</v>
      </c>
      <c r="M144" t="s">
        <v>161</v>
      </c>
      <c r="N144" s="54">
        <v>45010.66978009259</v>
      </c>
      <c r="O144" s="54"/>
      <c r="P144" s="54"/>
      <c r="Q144" t="s">
        <v>2613</v>
      </c>
      <c r="R144" t="s">
        <v>161</v>
      </c>
    </row>
    <row r="145" spans="1:18" x14ac:dyDescent="0.3">
      <c r="A145" t="s">
        <v>884</v>
      </c>
      <c r="B145" t="s">
        <v>2809</v>
      </c>
      <c r="C145" t="s">
        <v>2578</v>
      </c>
      <c r="D145" t="s">
        <v>2610</v>
      </c>
      <c r="E145" t="s">
        <v>2816</v>
      </c>
      <c r="F145" t="s">
        <v>2598</v>
      </c>
      <c r="G145" t="s">
        <v>161</v>
      </c>
      <c r="H145" t="s">
        <v>2603</v>
      </c>
      <c r="I145" t="s">
        <v>2603</v>
      </c>
      <c r="J145" t="s">
        <v>2604</v>
      </c>
      <c r="M145" t="s">
        <v>161</v>
      </c>
      <c r="N145" s="54">
        <v>45011.495659722219</v>
      </c>
      <c r="O145" s="54"/>
      <c r="P145" s="54"/>
      <c r="Q145" t="s">
        <v>2613</v>
      </c>
      <c r="R145" t="s">
        <v>161</v>
      </c>
    </row>
    <row r="146" spans="1:18" x14ac:dyDescent="0.3">
      <c r="A146" t="s">
        <v>884</v>
      </c>
      <c r="B146" t="s">
        <v>2809</v>
      </c>
      <c r="C146" t="s">
        <v>2578</v>
      </c>
      <c r="D146" t="s">
        <v>2610</v>
      </c>
      <c r="E146" t="s">
        <v>2817</v>
      </c>
      <c r="F146" t="s">
        <v>2598</v>
      </c>
      <c r="G146" t="s">
        <v>161</v>
      </c>
      <c r="H146" t="s">
        <v>2603</v>
      </c>
      <c r="I146" t="s">
        <v>2603</v>
      </c>
      <c r="J146" t="s">
        <v>2604</v>
      </c>
      <c r="M146" t="s">
        <v>161</v>
      </c>
      <c r="N146" s="54">
        <v>45011.496527777781</v>
      </c>
      <c r="O146" s="54"/>
      <c r="P146" s="54"/>
      <c r="Q146" t="s">
        <v>2613</v>
      </c>
      <c r="R146" t="s">
        <v>161</v>
      </c>
    </row>
    <row r="147" spans="1:18" x14ac:dyDescent="0.3">
      <c r="A147" t="s">
        <v>884</v>
      </c>
      <c r="B147" t="s">
        <v>2818</v>
      </c>
      <c r="C147" t="s">
        <v>2578</v>
      </c>
      <c r="D147" t="s">
        <v>2610</v>
      </c>
      <c r="E147" t="s">
        <v>2819</v>
      </c>
      <c r="F147" t="s">
        <v>2581</v>
      </c>
      <c r="G147" t="s">
        <v>161</v>
      </c>
      <c r="H147" t="s">
        <v>2583</v>
      </c>
      <c r="I147" t="s">
        <v>2584</v>
      </c>
      <c r="J147" t="s">
        <v>2820</v>
      </c>
      <c r="M147" t="s">
        <v>161</v>
      </c>
      <c r="N147" s="54">
        <v>45523.348657407405</v>
      </c>
      <c r="O147" s="54"/>
      <c r="P147" s="54"/>
      <c r="Q147" t="s">
        <v>2613</v>
      </c>
      <c r="R147" t="s">
        <v>161</v>
      </c>
    </row>
    <row r="148" spans="1:18" x14ac:dyDescent="0.3">
      <c r="A148" t="s">
        <v>884</v>
      </c>
      <c r="B148" t="s">
        <v>2818</v>
      </c>
      <c r="C148" t="s">
        <v>2578</v>
      </c>
      <c r="D148" t="s">
        <v>2610</v>
      </c>
      <c r="E148" t="s">
        <v>2821</v>
      </c>
      <c r="F148" t="s">
        <v>2581</v>
      </c>
      <c r="G148" t="s">
        <v>161</v>
      </c>
      <c r="H148" t="s">
        <v>2583</v>
      </c>
      <c r="I148" t="s">
        <v>2584</v>
      </c>
      <c r="J148" t="s">
        <v>2820</v>
      </c>
      <c r="M148" t="s">
        <v>161</v>
      </c>
      <c r="N148" s="54">
        <v>45010.780231481483</v>
      </c>
      <c r="O148" s="54"/>
      <c r="P148" s="54"/>
      <c r="Q148" t="s">
        <v>2613</v>
      </c>
      <c r="R148" t="s">
        <v>161</v>
      </c>
    </row>
    <row r="149" spans="1:18" x14ac:dyDescent="0.3">
      <c r="A149" t="s">
        <v>884</v>
      </c>
      <c r="B149" t="s">
        <v>2822</v>
      </c>
      <c r="C149" t="s">
        <v>2578</v>
      </c>
      <c r="D149" t="s">
        <v>2610</v>
      </c>
      <c r="E149" t="s">
        <v>2823</v>
      </c>
      <c r="F149" t="s">
        <v>2590</v>
      </c>
      <c r="G149" t="s">
        <v>161</v>
      </c>
      <c r="H149" t="s">
        <v>2583</v>
      </c>
      <c r="I149" t="s">
        <v>2584</v>
      </c>
      <c r="J149" t="s">
        <v>2820</v>
      </c>
      <c r="M149" t="s">
        <v>161</v>
      </c>
      <c r="N149" s="54">
        <v>45812.641388888886</v>
      </c>
      <c r="O149" s="54"/>
      <c r="P149" s="54"/>
      <c r="Q149" t="s">
        <v>2613</v>
      </c>
      <c r="R149" t="s">
        <v>161</v>
      </c>
    </row>
    <row r="150" spans="1:18" x14ac:dyDescent="0.3">
      <c r="A150" t="s">
        <v>884</v>
      </c>
      <c r="B150" t="s">
        <v>2822</v>
      </c>
      <c r="C150" t="s">
        <v>2578</v>
      </c>
      <c r="D150" t="s">
        <v>2610</v>
      </c>
      <c r="E150" t="s">
        <v>2824</v>
      </c>
      <c r="F150" t="s">
        <v>2590</v>
      </c>
      <c r="G150" t="s">
        <v>161</v>
      </c>
      <c r="H150" t="s">
        <v>2583</v>
      </c>
      <c r="I150" t="s">
        <v>2584</v>
      </c>
      <c r="J150" t="s">
        <v>2820</v>
      </c>
      <c r="M150" t="s">
        <v>161</v>
      </c>
      <c r="N150" s="54">
        <v>45010.779710648145</v>
      </c>
      <c r="O150" s="54"/>
      <c r="P150" s="54"/>
      <c r="Q150" t="s">
        <v>2613</v>
      </c>
      <c r="R150" t="s">
        <v>161</v>
      </c>
    </row>
    <row r="151" spans="1:18" x14ac:dyDescent="0.3">
      <c r="A151" t="s">
        <v>884</v>
      </c>
      <c r="B151" t="s">
        <v>2825</v>
      </c>
      <c r="C151" t="s">
        <v>2578</v>
      </c>
      <c r="D151" t="s">
        <v>2610</v>
      </c>
      <c r="E151" t="s">
        <v>2826</v>
      </c>
      <c r="F151" t="s">
        <v>2598</v>
      </c>
      <c r="G151" t="s">
        <v>161</v>
      </c>
      <c r="H151" t="s">
        <v>2603</v>
      </c>
      <c r="I151" t="s">
        <v>2603</v>
      </c>
      <c r="J151" t="s">
        <v>2604</v>
      </c>
      <c r="M151" t="s">
        <v>161</v>
      </c>
      <c r="N151" s="54">
        <v>45010.822650462964</v>
      </c>
      <c r="O151" s="54"/>
      <c r="P151" s="54"/>
      <c r="Q151" t="s">
        <v>2613</v>
      </c>
      <c r="R151" t="s">
        <v>161</v>
      </c>
    </row>
    <row r="152" spans="1:18" x14ac:dyDescent="0.3">
      <c r="A152" t="s">
        <v>884</v>
      </c>
      <c r="B152" t="s">
        <v>2825</v>
      </c>
      <c r="C152" t="s">
        <v>2578</v>
      </c>
      <c r="D152" t="s">
        <v>2610</v>
      </c>
      <c r="E152" t="s">
        <v>2827</v>
      </c>
      <c r="F152" t="s">
        <v>2598</v>
      </c>
      <c r="G152" t="s">
        <v>161</v>
      </c>
      <c r="H152" t="s">
        <v>2603</v>
      </c>
      <c r="I152" t="s">
        <v>2603</v>
      </c>
      <c r="J152" t="s">
        <v>2604</v>
      </c>
      <c r="M152" t="s">
        <v>161</v>
      </c>
      <c r="N152" s="54">
        <v>45010.822789351849</v>
      </c>
      <c r="O152" s="54"/>
      <c r="P152" s="54"/>
      <c r="Q152" t="s">
        <v>2613</v>
      </c>
      <c r="R152" t="s">
        <v>161</v>
      </c>
    </row>
    <row r="153" spans="1:18" x14ac:dyDescent="0.3">
      <c r="A153" t="s">
        <v>884</v>
      </c>
      <c r="B153" t="s">
        <v>2825</v>
      </c>
      <c r="C153" t="s">
        <v>2578</v>
      </c>
      <c r="D153" t="s">
        <v>2610</v>
      </c>
      <c r="E153" t="s">
        <v>2828</v>
      </c>
      <c r="F153" t="s">
        <v>2598</v>
      </c>
      <c r="G153" t="s">
        <v>161</v>
      </c>
      <c r="H153" t="s">
        <v>2603</v>
      </c>
      <c r="I153" t="s">
        <v>2603</v>
      </c>
      <c r="J153" t="s">
        <v>2604</v>
      </c>
      <c r="M153" t="s">
        <v>161</v>
      </c>
      <c r="N153" s="54">
        <v>45015</v>
      </c>
      <c r="O153" s="54"/>
      <c r="P153" s="54"/>
      <c r="Q153" t="s">
        <v>2613</v>
      </c>
      <c r="R153" t="s">
        <v>161</v>
      </c>
    </row>
    <row r="154" spans="1:18" x14ac:dyDescent="0.3">
      <c r="A154" t="s">
        <v>884</v>
      </c>
      <c r="B154" t="s">
        <v>2825</v>
      </c>
      <c r="C154" t="s">
        <v>2578</v>
      </c>
      <c r="D154" t="s">
        <v>2610</v>
      </c>
      <c r="E154" t="s">
        <v>2829</v>
      </c>
      <c r="F154" t="s">
        <v>2598</v>
      </c>
      <c r="G154" t="s">
        <v>161</v>
      </c>
      <c r="H154" t="s">
        <v>2603</v>
      </c>
      <c r="I154" t="s">
        <v>2603</v>
      </c>
      <c r="J154" t="s">
        <v>2604</v>
      </c>
      <c r="M154" t="s">
        <v>161</v>
      </c>
      <c r="N154" s="54">
        <v>45015</v>
      </c>
      <c r="O154" s="54"/>
      <c r="P154" s="54"/>
      <c r="Q154" t="s">
        <v>2613</v>
      </c>
      <c r="R154" t="s">
        <v>161</v>
      </c>
    </row>
    <row r="155" spans="1:18" x14ac:dyDescent="0.3">
      <c r="A155" t="s">
        <v>884</v>
      </c>
      <c r="B155" t="s">
        <v>2825</v>
      </c>
      <c r="C155" t="s">
        <v>2578</v>
      </c>
      <c r="D155" t="s">
        <v>2610</v>
      </c>
      <c r="E155" t="s">
        <v>2830</v>
      </c>
      <c r="F155" t="s">
        <v>2598</v>
      </c>
      <c r="G155" t="s">
        <v>161</v>
      </c>
      <c r="H155" t="s">
        <v>2603</v>
      </c>
      <c r="I155" t="s">
        <v>2603</v>
      </c>
      <c r="J155" t="s">
        <v>2604</v>
      </c>
      <c r="M155" t="s">
        <v>161</v>
      </c>
      <c r="N155" s="54">
        <v>45891.592719907407</v>
      </c>
      <c r="O155" s="54"/>
      <c r="P155" s="54"/>
      <c r="Q155" t="s">
        <v>2613</v>
      </c>
      <c r="R155" t="s">
        <v>161</v>
      </c>
    </row>
    <row r="156" spans="1:18" x14ac:dyDescent="0.3">
      <c r="A156" t="s">
        <v>884</v>
      </c>
      <c r="B156" t="s">
        <v>2825</v>
      </c>
      <c r="C156" t="s">
        <v>2578</v>
      </c>
      <c r="D156" t="s">
        <v>2610</v>
      </c>
      <c r="E156" t="s">
        <v>2831</v>
      </c>
      <c r="F156" t="s">
        <v>2598</v>
      </c>
      <c r="G156" t="s">
        <v>161</v>
      </c>
      <c r="H156" t="s">
        <v>2603</v>
      </c>
      <c r="I156" t="s">
        <v>2603</v>
      </c>
      <c r="J156" t="s">
        <v>2604</v>
      </c>
      <c r="M156" t="s">
        <v>161</v>
      </c>
      <c r="N156" s="54">
        <v>45010.822523148148</v>
      </c>
      <c r="O156" s="54"/>
      <c r="P156" s="54"/>
      <c r="Q156" t="s">
        <v>2613</v>
      </c>
      <c r="R156" t="s">
        <v>161</v>
      </c>
    </row>
    <row r="157" spans="1:18" x14ac:dyDescent="0.3">
      <c r="A157" t="s">
        <v>884</v>
      </c>
      <c r="B157" t="s">
        <v>2825</v>
      </c>
      <c r="C157" t="s">
        <v>2578</v>
      </c>
      <c r="D157" t="s">
        <v>2610</v>
      </c>
      <c r="E157" t="s">
        <v>2832</v>
      </c>
      <c r="F157" t="s">
        <v>2598</v>
      </c>
      <c r="G157" t="s">
        <v>161</v>
      </c>
      <c r="H157" t="s">
        <v>2603</v>
      </c>
      <c r="I157" t="s">
        <v>2603</v>
      </c>
      <c r="J157" t="s">
        <v>2604</v>
      </c>
      <c r="M157" t="s">
        <v>161</v>
      </c>
      <c r="N157" s="54">
        <v>45010.822118055556</v>
      </c>
      <c r="O157" s="54"/>
      <c r="P157" s="54"/>
      <c r="Q157" t="s">
        <v>2613</v>
      </c>
      <c r="R157" t="s">
        <v>161</v>
      </c>
    </row>
    <row r="158" spans="1:18" x14ac:dyDescent="0.3">
      <c r="A158" t="s">
        <v>884</v>
      </c>
      <c r="B158" t="s">
        <v>2825</v>
      </c>
      <c r="C158" t="s">
        <v>2578</v>
      </c>
      <c r="D158" t="s">
        <v>2610</v>
      </c>
      <c r="E158" t="s">
        <v>2833</v>
      </c>
      <c r="F158" t="s">
        <v>2598</v>
      </c>
      <c r="G158" t="s">
        <v>161</v>
      </c>
      <c r="H158" t="s">
        <v>2603</v>
      </c>
      <c r="I158" t="s">
        <v>2603</v>
      </c>
      <c r="J158" t="s">
        <v>2604</v>
      </c>
      <c r="M158" t="s">
        <v>161</v>
      </c>
      <c r="N158" s="54">
        <v>45010.822268518517</v>
      </c>
      <c r="O158" s="54"/>
      <c r="P158" s="54"/>
      <c r="Q158" t="s">
        <v>2613</v>
      </c>
      <c r="R158" t="s">
        <v>161</v>
      </c>
    </row>
    <row r="159" spans="1:18" x14ac:dyDescent="0.3">
      <c r="A159" t="s">
        <v>884</v>
      </c>
      <c r="B159" t="s">
        <v>2825</v>
      </c>
      <c r="C159" t="s">
        <v>2578</v>
      </c>
      <c r="D159" t="s">
        <v>2610</v>
      </c>
      <c r="E159" t="s">
        <v>2834</v>
      </c>
      <c r="F159" t="s">
        <v>2598</v>
      </c>
      <c r="G159" t="s">
        <v>161</v>
      </c>
      <c r="H159" t="s">
        <v>2603</v>
      </c>
      <c r="I159" t="s">
        <v>2603</v>
      </c>
      <c r="J159" t="s">
        <v>2604</v>
      </c>
      <c r="M159" t="s">
        <v>161</v>
      </c>
      <c r="N159" s="54">
        <v>45677.286064814813</v>
      </c>
      <c r="O159" s="54"/>
      <c r="P159" s="54"/>
      <c r="Q159" t="s">
        <v>2613</v>
      </c>
      <c r="R159" t="s">
        <v>161</v>
      </c>
    </row>
    <row r="160" spans="1:18" x14ac:dyDescent="0.3">
      <c r="A160" t="s">
        <v>884</v>
      </c>
      <c r="B160" t="s">
        <v>2825</v>
      </c>
      <c r="C160" t="s">
        <v>2578</v>
      </c>
      <c r="D160" t="s">
        <v>2610</v>
      </c>
      <c r="E160" t="s">
        <v>2835</v>
      </c>
      <c r="F160" t="s">
        <v>2598</v>
      </c>
      <c r="G160" t="s">
        <v>161</v>
      </c>
      <c r="H160" t="s">
        <v>2603</v>
      </c>
      <c r="I160" t="s">
        <v>2603</v>
      </c>
      <c r="J160" t="s">
        <v>2604</v>
      </c>
      <c r="M160" t="s">
        <v>161</v>
      </c>
      <c r="N160" s="54">
        <v>45016.365243055552</v>
      </c>
      <c r="O160" s="54"/>
      <c r="P160" s="54"/>
      <c r="Q160" t="s">
        <v>2613</v>
      </c>
      <c r="R160" t="s">
        <v>161</v>
      </c>
    </row>
    <row r="161" spans="1:18" x14ac:dyDescent="0.3">
      <c r="A161" t="s">
        <v>884</v>
      </c>
      <c r="B161" t="s">
        <v>2836</v>
      </c>
      <c r="C161" t="s">
        <v>2578</v>
      </c>
      <c r="D161" t="s">
        <v>2610</v>
      </c>
      <c r="E161" t="s">
        <v>2837</v>
      </c>
      <c r="F161" t="s">
        <v>2590</v>
      </c>
      <c r="G161" t="s">
        <v>161</v>
      </c>
      <c r="H161" t="s">
        <v>2603</v>
      </c>
      <c r="I161" t="s">
        <v>2603</v>
      </c>
      <c r="J161" t="s">
        <v>2741</v>
      </c>
      <c r="M161" t="s">
        <v>161</v>
      </c>
      <c r="N161" s="54">
        <v>45010.810115740744</v>
      </c>
      <c r="O161" s="54"/>
      <c r="P161" s="54"/>
      <c r="Q161" t="s">
        <v>2613</v>
      </c>
      <c r="R161" t="s">
        <v>161</v>
      </c>
    </row>
    <row r="162" spans="1:18" x14ac:dyDescent="0.3">
      <c r="A162" t="s">
        <v>884</v>
      </c>
      <c r="B162" t="s">
        <v>2836</v>
      </c>
      <c r="C162" t="s">
        <v>2578</v>
      </c>
      <c r="D162" t="s">
        <v>2610</v>
      </c>
      <c r="E162" t="s">
        <v>2838</v>
      </c>
      <c r="F162" t="s">
        <v>2590</v>
      </c>
      <c r="G162" t="s">
        <v>161</v>
      </c>
      <c r="H162" t="s">
        <v>2603</v>
      </c>
      <c r="I162" t="s">
        <v>2603</v>
      </c>
      <c r="J162" t="s">
        <v>2741</v>
      </c>
      <c r="M162" t="s">
        <v>161</v>
      </c>
      <c r="N162" s="54">
        <v>45010.810254629629</v>
      </c>
      <c r="O162" s="54"/>
      <c r="P162" s="54"/>
      <c r="Q162" t="s">
        <v>2613</v>
      </c>
      <c r="R162" t="s">
        <v>161</v>
      </c>
    </row>
    <row r="163" spans="1:18" x14ac:dyDescent="0.3">
      <c r="A163" t="s">
        <v>884</v>
      </c>
      <c r="B163" t="s">
        <v>2836</v>
      </c>
      <c r="C163" t="s">
        <v>2578</v>
      </c>
      <c r="D163" t="s">
        <v>2610</v>
      </c>
      <c r="E163" t="s">
        <v>2839</v>
      </c>
      <c r="F163" t="s">
        <v>2590</v>
      </c>
      <c r="G163" t="s">
        <v>161</v>
      </c>
      <c r="H163" t="s">
        <v>2603</v>
      </c>
      <c r="I163" t="s">
        <v>2603</v>
      </c>
      <c r="J163" t="s">
        <v>2741</v>
      </c>
      <c r="M163" t="s">
        <v>161</v>
      </c>
      <c r="N163" s="54">
        <v>45010.810370370367</v>
      </c>
      <c r="O163" s="54"/>
      <c r="P163" s="54"/>
      <c r="Q163" t="s">
        <v>2613</v>
      </c>
      <c r="R163" t="s">
        <v>161</v>
      </c>
    </row>
    <row r="164" spans="1:18" x14ac:dyDescent="0.3">
      <c r="A164" t="s">
        <v>884</v>
      </c>
      <c r="B164" t="s">
        <v>2836</v>
      </c>
      <c r="C164" t="s">
        <v>2578</v>
      </c>
      <c r="D164" t="s">
        <v>2610</v>
      </c>
      <c r="E164" t="s">
        <v>2840</v>
      </c>
      <c r="F164" t="s">
        <v>2590</v>
      </c>
      <c r="G164" t="s">
        <v>161</v>
      </c>
      <c r="H164" t="s">
        <v>2603</v>
      </c>
      <c r="I164" t="s">
        <v>2603</v>
      </c>
      <c r="J164" t="s">
        <v>2741</v>
      </c>
      <c r="M164" t="s">
        <v>161</v>
      </c>
      <c r="N164" s="54">
        <v>45010.810532407406</v>
      </c>
      <c r="O164" s="54"/>
      <c r="P164" s="54"/>
      <c r="Q164" t="s">
        <v>2613</v>
      </c>
      <c r="R164" t="s">
        <v>161</v>
      </c>
    </row>
    <row r="165" spans="1:18" x14ac:dyDescent="0.3">
      <c r="A165" t="s">
        <v>884</v>
      </c>
      <c r="B165" t="s">
        <v>2836</v>
      </c>
      <c r="C165" t="s">
        <v>2578</v>
      </c>
      <c r="D165" t="s">
        <v>2610</v>
      </c>
      <c r="E165" t="s">
        <v>2841</v>
      </c>
      <c r="F165" t="s">
        <v>2590</v>
      </c>
      <c r="G165" t="s">
        <v>161</v>
      </c>
      <c r="H165" t="s">
        <v>2603</v>
      </c>
      <c r="I165" t="s">
        <v>2603</v>
      </c>
      <c r="J165" t="s">
        <v>2741</v>
      </c>
      <c r="M165" t="s">
        <v>161</v>
      </c>
      <c r="N165" s="54">
        <v>45010.810694444444</v>
      </c>
      <c r="O165" s="54"/>
      <c r="P165" s="54"/>
      <c r="Q165" t="s">
        <v>2613</v>
      </c>
      <c r="R165" t="s">
        <v>161</v>
      </c>
    </row>
    <row r="166" spans="1:18" x14ac:dyDescent="0.3">
      <c r="A166" t="s">
        <v>884</v>
      </c>
      <c r="B166" t="s">
        <v>2836</v>
      </c>
      <c r="C166" t="s">
        <v>2578</v>
      </c>
      <c r="D166" t="s">
        <v>2610</v>
      </c>
      <c r="E166" t="s">
        <v>2842</v>
      </c>
      <c r="F166" t="s">
        <v>2590</v>
      </c>
      <c r="G166" t="s">
        <v>161</v>
      </c>
      <c r="H166" t="s">
        <v>2603</v>
      </c>
      <c r="I166" t="s">
        <v>2603</v>
      </c>
      <c r="J166" t="s">
        <v>2741</v>
      </c>
      <c r="M166" t="s">
        <v>161</v>
      </c>
      <c r="N166" s="54">
        <v>45010.810833333337</v>
      </c>
      <c r="O166" s="54"/>
      <c r="P166" s="54"/>
      <c r="Q166" t="s">
        <v>2613</v>
      </c>
      <c r="R166" t="s">
        <v>161</v>
      </c>
    </row>
    <row r="167" spans="1:18" x14ac:dyDescent="0.3">
      <c r="A167" t="s">
        <v>884</v>
      </c>
      <c r="B167" t="s">
        <v>2836</v>
      </c>
      <c r="C167" t="s">
        <v>2578</v>
      </c>
      <c r="D167" t="s">
        <v>2610</v>
      </c>
      <c r="E167" t="s">
        <v>2843</v>
      </c>
      <c r="F167" t="s">
        <v>2590</v>
      </c>
      <c r="G167" t="s">
        <v>161</v>
      </c>
      <c r="H167" t="s">
        <v>2603</v>
      </c>
      <c r="I167" t="s">
        <v>2603</v>
      </c>
      <c r="J167" t="s">
        <v>2741</v>
      </c>
      <c r="M167" t="s">
        <v>161</v>
      </c>
      <c r="N167" s="54">
        <v>45349.784050925926</v>
      </c>
      <c r="O167" s="54"/>
      <c r="P167" s="54"/>
      <c r="Q167" t="s">
        <v>2613</v>
      </c>
      <c r="R167" t="s">
        <v>161</v>
      </c>
    </row>
    <row r="168" spans="1:18" x14ac:dyDescent="0.3">
      <c r="A168" t="s">
        <v>884</v>
      </c>
      <c r="B168" t="s">
        <v>2836</v>
      </c>
      <c r="C168" t="s">
        <v>2578</v>
      </c>
      <c r="D168" t="s">
        <v>2610</v>
      </c>
      <c r="E168" t="s">
        <v>2844</v>
      </c>
      <c r="F168" t="s">
        <v>2590</v>
      </c>
      <c r="G168" t="s">
        <v>161</v>
      </c>
      <c r="H168" t="s">
        <v>2603</v>
      </c>
      <c r="I168" t="s">
        <v>2603</v>
      </c>
      <c r="J168" t="s">
        <v>2741</v>
      </c>
      <c r="M168" t="s">
        <v>161</v>
      </c>
      <c r="N168" s="54">
        <v>45010.81108796296</v>
      </c>
      <c r="O168" s="54"/>
      <c r="P168" s="54"/>
      <c r="Q168" t="s">
        <v>2613</v>
      </c>
      <c r="R168" t="s">
        <v>161</v>
      </c>
    </row>
    <row r="169" spans="1:18" x14ac:dyDescent="0.3">
      <c r="A169" t="s">
        <v>884</v>
      </c>
      <c r="B169" t="s">
        <v>2836</v>
      </c>
      <c r="C169" t="s">
        <v>2578</v>
      </c>
      <c r="D169" t="s">
        <v>2610</v>
      </c>
      <c r="E169" t="s">
        <v>2845</v>
      </c>
      <c r="F169" t="s">
        <v>2590</v>
      </c>
      <c r="G169" t="s">
        <v>161</v>
      </c>
      <c r="H169" t="s">
        <v>2603</v>
      </c>
      <c r="I169" t="s">
        <v>2603</v>
      </c>
      <c r="J169" t="s">
        <v>2741</v>
      </c>
      <c r="M169" t="s">
        <v>161</v>
      </c>
      <c r="N169" s="54">
        <v>45010.811365740738</v>
      </c>
      <c r="O169" s="54"/>
      <c r="P169" s="54"/>
      <c r="Q169" t="s">
        <v>2613</v>
      </c>
      <c r="R169" t="s">
        <v>161</v>
      </c>
    </row>
    <row r="170" spans="1:18" x14ac:dyDescent="0.3">
      <c r="A170" t="s">
        <v>884</v>
      </c>
      <c r="B170" t="s">
        <v>2836</v>
      </c>
      <c r="C170" t="s">
        <v>2578</v>
      </c>
      <c r="D170" t="s">
        <v>2610</v>
      </c>
      <c r="E170" t="s">
        <v>2846</v>
      </c>
      <c r="F170" t="s">
        <v>2590</v>
      </c>
      <c r="G170" t="s">
        <v>161</v>
      </c>
      <c r="H170" t="s">
        <v>2603</v>
      </c>
      <c r="I170" t="s">
        <v>2603</v>
      </c>
      <c r="J170" t="s">
        <v>2741</v>
      </c>
      <c r="M170" t="s">
        <v>161</v>
      </c>
      <c r="N170" s="54">
        <v>45016.360127314816</v>
      </c>
      <c r="O170" s="54"/>
      <c r="P170" s="54"/>
      <c r="Q170" t="s">
        <v>2613</v>
      </c>
      <c r="R170" t="s">
        <v>161</v>
      </c>
    </row>
    <row r="171" spans="1:18" x14ac:dyDescent="0.3">
      <c r="A171" t="s">
        <v>884</v>
      </c>
      <c r="B171" t="s">
        <v>2836</v>
      </c>
      <c r="C171" t="s">
        <v>2578</v>
      </c>
      <c r="D171" t="s">
        <v>2610</v>
      </c>
      <c r="E171" t="s">
        <v>2847</v>
      </c>
      <c r="F171" t="s">
        <v>2590</v>
      </c>
      <c r="G171" t="s">
        <v>161</v>
      </c>
      <c r="H171" t="s">
        <v>2603</v>
      </c>
      <c r="I171" t="s">
        <v>2603</v>
      </c>
      <c r="J171" t="s">
        <v>2741</v>
      </c>
      <c r="M171" t="s">
        <v>161</v>
      </c>
      <c r="N171" s="54">
        <v>45015</v>
      </c>
      <c r="O171" s="54"/>
      <c r="P171" s="54"/>
      <c r="Q171" t="s">
        <v>2613</v>
      </c>
      <c r="R171" t="s">
        <v>161</v>
      </c>
    </row>
    <row r="172" spans="1:18" x14ac:dyDescent="0.3">
      <c r="A172" t="s">
        <v>884</v>
      </c>
      <c r="B172" t="s">
        <v>2836</v>
      </c>
      <c r="C172" t="s">
        <v>2578</v>
      </c>
      <c r="D172" t="s">
        <v>2610</v>
      </c>
      <c r="E172" t="s">
        <v>2848</v>
      </c>
      <c r="F172" t="s">
        <v>2590</v>
      </c>
      <c r="G172" t="s">
        <v>161</v>
      </c>
      <c r="H172" t="s">
        <v>2603</v>
      </c>
      <c r="I172" t="s">
        <v>2603</v>
      </c>
      <c r="J172" t="s">
        <v>2741</v>
      </c>
      <c r="M172" t="s">
        <v>161</v>
      </c>
      <c r="N172" s="54">
        <v>45015</v>
      </c>
      <c r="O172" s="54"/>
      <c r="P172" s="54"/>
      <c r="Q172" t="s">
        <v>2613</v>
      </c>
      <c r="R172" t="s">
        <v>161</v>
      </c>
    </row>
    <row r="173" spans="1:18" x14ac:dyDescent="0.3">
      <c r="A173" t="s">
        <v>884</v>
      </c>
      <c r="B173" t="s">
        <v>2836</v>
      </c>
      <c r="C173" t="s">
        <v>2578</v>
      </c>
      <c r="D173" t="s">
        <v>2610</v>
      </c>
      <c r="E173" t="s">
        <v>2849</v>
      </c>
      <c r="F173" t="s">
        <v>2590</v>
      </c>
      <c r="G173" t="s">
        <v>161</v>
      </c>
      <c r="H173" t="s">
        <v>2603</v>
      </c>
      <c r="I173" t="s">
        <v>2603</v>
      </c>
      <c r="J173" t="s">
        <v>2741</v>
      </c>
      <c r="M173" t="s">
        <v>161</v>
      </c>
      <c r="N173" s="54">
        <v>45015</v>
      </c>
      <c r="O173" s="54"/>
      <c r="P173" s="54"/>
      <c r="Q173" t="s">
        <v>2613</v>
      </c>
      <c r="R173" t="s">
        <v>161</v>
      </c>
    </row>
    <row r="174" spans="1:18" x14ac:dyDescent="0.3">
      <c r="A174" t="s">
        <v>884</v>
      </c>
      <c r="B174" t="s">
        <v>2836</v>
      </c>
      <c r="C174" t="s">
        <v>2578</v>
      </c>
      <c r="D174" t="s">
        <v>2610</v>
      </c>
      <c r="E174" t="s">
        <v>2850</v>
      </c>
      <c r="F174" t="s">
        <v>2590</v>
      </c>
      <c r="G174" t="s">
        <v>161</v>
      </c>
      <c r="H174" t="s">
        <v>2603</v>
      </c>
      <c r="I174" t="s">
        <v>2603</v>
      </c>
      <c r="J174" t="s">
        <v>2741</v>
      </c>
      <c r="M174" t="s">
        <v>161</v>
      </c>
      <c r="N174" s="54">
        <v>45492.417372685188</v>
      </c>
      <c r="O174" s="54"/>
      <c r="P174" s="54"/>
      <c r="Q174" t="s">
        <v>2613</v>
      </c>
      <c r="R174" t="s">
        <v>161</v>
      </c>
    </row>
    <row r="175" spans="1:18" x14ac:dyDescent="0.3">
      <c r="A175" t="s">
        <v>884</v>
      </c>
      <c r="B175" t="s">
        <v>2836</v>
      </c>
      <c r="C175" t="s">
        <v>2578</v>
      </c>
      <c r="D175" t="s">
        <v>2610</v>
      </c>
      <c r="E175" t="s">
        <v>2851</v>
      </c>
      <c r="F175" t="s">
        <v>2590</v>
      </c>
      <c r="G175" t="s">
        <v>161</v>
      </c>
      <c r="H175" t="s">
        <v>2603</v>
      </c>
      <c r="I175" t="s">
        <v>2603</v>
      </c>
      <c r="J175" t="s">
        <v>2741</v>
      </c>
      <c r="M175" t="s">
        <v>161</v>
      </c>
      <c r="N175" s="54">
        <v>45015</v>
      </c>
      <c r="O175" s="54"/>
      <c r="P175" s="54"/>
      <c r="Q175" t="s">
        <v>2613</v>
      </c>
      <c r="R175" t="s">
        <v>161</v>
      </c>
    </row>
    <row r="176" spans="1:18" x14ac:dyDescent="0.3">
      <c r="A176" t="s">
        <v>884</v>
      </c>
      <c r="B176" t="s">
        <v>2852</v>
      </c>
      <c r="C176" t="s">
        <v>2578</v>
      </c>
      <c r="D176" t="s">
        <v>2610</v>
      </c>
      <c r="E176" t="s">
        <v>2853</v>
      </c>
      <c r="F176" t="s">
        <v>2590</v>
      </c>
      <c r="G176" t="s">
        <v>161</v>
      </c>
      <c r="H176" t="s">
        <v>2703</v>
      </c>
      <c r="I176" t="s">
        <v>2704</v>
      </c>
      <c r="J176" t="s">
        <v>2705</v>
      </c>
      <c r="M176" t="s">
        <v>161</v>
      </c>
      <c r="N176" s="54">
        <v>45247.587094907409</v>
      </c>
      <c r="O176" s="54"/>
      <c r="P176" s="54"/>
      <c r="Q176" t="s">
        <v>2613</v>
      </c>
      <c r="R176" t="s">
        <v>161</v>
      </c>
    </row>
    <row r="177" spans="1:18" x14ac:dyDescent="0.3">
      <c r="A177" t="s">
        <v>884</v>
      </c>
      <c r="B177" t="s">
        <v>2852</v>
      </c>
      <c r="C177" t="s">
        <v>2578</v>
      </c>
      <c r="D177" t="s">
        <v>2610</v>
      </c>
      <c r="E177" t="s">
        <v>2854</v>
      </c>
      <c r="F177" t="s">
        <v>2590</v>
      </c>
      <c r="G177" t="s">
        <v>161</v>
      </c>
      <c r="H177" t="s">
        <v>2703</v>
      </c>
      <c r="I177" t="s">
        <v>2704</v>
      </c>
      <c r="J177" t="s">
        <v>2705</v>
      </c>
      <c r="M177" t="s">
        <v>161</v>
      </c>
      <c r="N177" s="54">
        <v>45597.726400462961</v>
      </c>
      <c r="O177" s="54"/>
      <c r="P177" s="54"/>
      <c r="Q177" t="s">
        <v>2613</v>
      </c>
      <c r="R177" t="s">
        <v>161</v>
      </c>
    </row>
    <row r="178" spans="1:18" x14ac:dyDescent="0.3">
      <c r="A178" t="s">
        <v>884</v>
      </c>
      <c r="B178" t="s">
        <v>2855</v>
      </c>
      <c r="C178" t="s">
        <v>2578</v>
      </c>
      <c r="D178" t="s">
        <v>2610</v>
      </c>
      <c r="E178" t="s">
        <v>2856</v>
      </c>
      <c r="F178" t="s">
        <v>2581</v>
      </c>
      <c r="G178" t="s">
        <v>161</v>
      </c>
      <c r="H178" t="s">
        <v>2703</v>
      </c>
      <c r="I178" t="s">
        <v>2709</v>
      </c>
      <c r="J178" t="s">
        <v>2710</v>
      </c>
      <c r="M178" t="s">
        <v>161</v>
      </c>
      <c r="N178" s="54">
        <v>45010.748483796298</v>
      </c>
      <c r="O178" s="54"/>
      <c r="P178" s="54"/>
      <c r="Q178" t="s">
        <v>2613</v>
      </c>
      <c r="R178" t="s">
        <v>161</v>
      </c>
    </row>
    <row r="179" spans="1:18" x14ac:dyDescent="0.3">
      <c r="A179" t="s">
        <v>884</v>
      </c>
      <c r="B179" t="s">
        <v>2855</v>
      </c>
      <c r="C179" t="s">
        <v>2578</v>
      </c>
      <c r="D179" t="s">
        <v>2610</v>
      </c>
      <c r="E179" t="s">
        <v>2857</v>
      </c>
      <c r="F179" t="s">
        <v>2581</v>
      </c>
      <c r="G179" t="s">
        <v>161</v>
      </c>
      <c r="H179" t="s">
        <v>2703</v>
      </c>
      <c r="I179" t="s">
        <v>2709</v>
      </c>
      <c r="J179" t="s">
        <v>2710</v>
      </c>
      <c r="M179" t="s">
        <v>161</v>
      </c>
      <c r="N179" s="54">
        <v>45790.584907407407</v>
      </c>
      <c r="O179" s="54"/>
      <c r="P179" s="54"/>
      <c r="Q179" t="s">
        <v>2613</v>
      </c>
      <c r="R179" t="s">
        <v>161</v>
      </c>
    </row>
    <row r="180" spans="1:18" x14ac:dyDescent="0.3">
      <c r="A180" t="s">
        <v>884</v>
      </c>
      <c r="B180" t="s">
        <v>2858</v>
      </c>
      <c r="C180" t="s">
        <v>2578</v>
      </c>
      <c r="D180" t="s">
        <v>2610</v>
      </c>
      <c r="E180" t="s">
        <v>2859</v>
      </c>
      <c r="F180" t="s">
        <v>2735</v>
      </c>
      <c r="G180" t="s">
        <v>161</v>
      </c>
      <c r="H180" t="s">
        <v>2591</v>
      </c>
      <c r="I180" t="s">
        <v>2592</v>
      </c>
      <c r="J180" t="s">
        <v>2593</v>
      </c>
      <c r="M180" t="s">
        <v>161</v>
      </c>
      <c r="N180" s="54">
        <v>45128.574178240742</v>
      </c>
      <c r="O180" s="54"/>
      <c r="P180" s="54"/>
      <c r="Q180" t="s">
        <v>2613</v>
      </c>
      <c r="R180" t="s">
        <v>161</v>
      </c>
    </row>
    <row r="181" spans="1:18" x14ac:dyDescent="0.3">
      <c r="A181" t="s">
        <v>884</v>
      </c>
      <c r="B181" t="s">
        <v>2858</v>
      </c>
      <c r="C181" t="s">
        <v>2578</v>
      </c>
      <c r="D181" t="s">
        <v>2610</v>
      </c>
      <c r="E181" t="s">
        <v>2860</v>
      </c>
      <c r="F181" t="s">
        <v>2735</v>
      </c>
      <c r="G181" t="s">
        <v>161</v>
      </c>
      <c r="H181" t="s">
        <v>2591</v>
      </c>
      <c r="I181" t="s">
        <v>2592</v>
      </c>
      <c r="J181" t="s">
        <v>2593</v>
      </c>
      <c r="M181" t="s">
        <v>161</v>
      </c>
      <c r="N181" s="54">
        <v>45015</v>
      </c>
      <c r="O181" s="54"/>
      <c r="P181" s="54"/>
      <c r="Q181" t="s">
        <v>2613</v>
      </c>
      <c r="R181" t="s">
        <v>161</v>
      </c>
    </row>
    <row r="182" spans="1:18" x14ac:dyDescent="0.3">
      <c r="A182" t="s">
        <v>884</v>
      </c>
      <c r="B182" t="s">
        <v>2861</v>
      </c>
      <c r="C182" t="s">
        <v>2578</v>
      </c>
      <c r="D182" t="s">
        <v>2610</v>
      </c>
      <c r="E182" t="s">
        <v>2862</v>
      </c>
      <c r="F182" t="s">
        <v>2581</v>
      </c>
      <c r="G182" t="s">
        <v>161</v>
      </c>
      <c r="H182" t="s">
        <v>2703</v>
      </c>
      <c r="I182" t="s">
        <v>2709</v>
      </c>
      <c r="J182" t="s">
        <v>2710</v>
      </c>
      <c r="M182" t="s">
        <v>161</v>
      </c>
      <c r="N182" s="54">
        <v>45010.750462962962</v>
      </c>
      <c r="O182" s="54"/>
      <c r="P182" s="54"/>
      <c r="Q182" t="s">
        <v>2613</v>
      </c>
      <c r="R182" t="s">
        <v>161</v>
      </c>
    </row>
    <row r="183" spans="1:18" x14ac:dyDescent="0.3">
      <c r="A183" t="s">
        <v>884</v>
      </c>
      <c r="B183" t="s">
        <v>2861</v>
      </c>
      <c r="C183" t="s">
        <v>2578</v>
      </c>
      <c r="D183" t="s">
        <v>2610</v>
      </c>
      <c r="E183" t="s">
        <v>2863</v>
      </c>
      <c r="F183" t="s">
        <v>2581</v>
      </c>
      <c r="G183" t="s">
        <v>161</v>
      </c>
      <c r="H183" t="s">
        <v>2703</v>
      </c>
      <c r="I183" t="s">
        <v>2709</v>
      </c>
      <c r="J183" t="s">
        <v>2710</v>
      </c>
      <c r="M183" t="s">
        <v>161</v>
      </c>
      <c r="N183" s="54">
        <v>45010.750625000001</v>
      </c>
      <c r="O183" s="54"/>
      <c r="P183" s="54"/>
      <c r="Q183" t="s">
        <v>2613</v>
      </c>
      <c r="R183" t="s">
        <v>161</v>
      </c>
    </row>
    <row r="184" spans="1:18" x14ac:dyDescent="0.3">
      <c r="A184" t="s">
        <v>884</v>
      </c>
      <c r="B184" t="s">
        <v>2864</v>
      </c>
      <c r="C184" t="s">
        <v>2578</v>
      </c>
      <c r="D184" t="s">
        <v>2610</v>
      </c>
      <c r="E184" t="s">
        <v>2865</v>
      </c>
      <c r="F184" t="s">
        <v>2598</v>
      </c>
      <c r="G184" t="s">
        <v>161</v>
      </c>
      <c r="H184" t="s">
        <v>2591</v>
      </c>
      <c r="I184" t="s">
        <v>2592</v>
      </c>
      <c r="J184" t="s">
        <v>2593</v>
      </c>
      <c r="M184" t="s">
        <v>161</v>
      </c>
      <c r="N184" s="54">
        <v>45010.709270833337</v>
      </c>
      <c r="O184" s="54"/>
      <c r="P184" s="54"/>
      <c r="Q184" t="s">
        <v>2613</v>
      </c>
      <c r="R184" t="s">
        <v>161</v>
      </c>
    </row>
    <row r="185" spans="1:18" x14ac:dyDescent="0.3">
      <c r="A185" t="s">
        <v>884</v>
      </c>
      <c r="B185" t="s">
        <v>2864</v>
      </c>
      <c r="C185" t="s">
        <v>2578</v>
      </c>
      <c r="D185" t="s">
        <v>2610</v>
      </c>
      <c r="E185" t="s">
        <v>2866</v>
      </c>
      <c r="F185" t="s">
        <v>2598</v>
      </c>
      <c r="G185" t="s">
        <v>161</v>
      </c>
      <c r="H185" t="s">
        <v>2591</v>
      </c>
      <c r="I185" t="s">
        <v>2592</v>
      </c>
      <c r="J185" t="s">
        <v>2593</v>
      </c>
      <c r="M185" t="s">
        <v>161</v>
      </c>
      <c r="N185" s="54">
        <v>45783.60597222222</v>
      </c>
      <c r="O185" s="54"/>
      <c r="P185" s="54"/>
      <c r="Q185" t="s">
        <v>2613</v>
      </c>
      <c r="R185" t="s">
        <v>161</v>
      </c>
    </row>
    <row r="186" spans="1:18" x14ac:dyDescent="0.3">
      <c r="A186" t="s">
        <v>884</v>
      </c>
      <c r="B186" t="s">
        <v>2867</v>
      </c>
      <c r="C186" t="s">
        <v>2578</v>
      </c>
      <c r="D186" t="s">
        <v>2610</v>
      </c>
      <c r="E186" t="s">
        <v>2868</v>
      </c>
      <c r="F186" t="s">
        <v>2581</v>
      </c>
      <c r="G186" t="s">
        <v>161</v>
      </c>
      <c r="H186" t="s">
        <v>2703</v>
      </c>
      <c r="I186" t="s">
        <v>2709</v>
      </c>
      <c r="J186" t="s">
        <v>2710</v>
      </c>
      <c r="M186" t="s">
        <v>161</v>
      </c>
      <c r="N186" s="54">
        <v>45010.751030092593</v>
      </c>
      <c r="O186" s="54"/>
      <c r="P186" s="54"/>
      <c r="Q186" t="s">
        <v>2613</v>
      </c>
      <c r="R186" t="s">
        <v>161</v>
      </c>
    </row>
    <row r="187" spans="1:18" x14ac:dyDescent="0.3">
      <c r="A187" t="s">
        <v>884</v>
      </c>
      <c r="B187" t="s">
        <v>2869</v>
      </c>
      <c r="C187" t="s">
        <v>2578</v>
      </c>
      <c r="D187" t="s">
        <v>2610</v>
      </c>
      <c r="E187" t="s">
        <v>2870</v>
      </c>
      <c r="F187" t="s">
        <v>2735</v>
      </c>
      <c r="G187" t="s">
        <v>161</v>
      </c>
      <c r="H187" t="s">
        <v>2703</v>
      </c>
      <c r="I187" t="s">
        <v>2731</v>
      </c>
      <c r="J187" t="s">
        <v>2732</v>
      </c>
      <c r="M187" t="s">
        <v>161</v>
      </c>
      <c r="N187" s="54">
        <v>45534.672511574077</v>
      </c>
      <c r="O187" s="54"/>
      <c r="P187" s="54"/>
      <c r="Q187" t="s">
        <v>2613</v>
      </c>
      <c r="R187" t="s">
        <v>161</v>
      </c>
    </row>
    <row r="188" spans="1:18" x14ac:dyDescent="0.3">
      <c r="A188" t="s">
        <v>884</v>
      </c>
      <c r="B188" t="s">
        <v>2869</v>
      </c>
      <c r="C188" t="s">
        <v>2578</v>
      </c>
      <c r="D188" t="s">
        <v>2610</v>
      </c>
      <c r="E188" t="s">
        <v>2871</v>
      </c>
      <c r="F188" t="s">
        <v>2735</v>
      </c>
      <c r="G188" t="s">
        <v>161</v>
      </c>
      <c r="H188" t="s">
        <v>2703</v>
      </c>
      <c r="I188" t="s">
        <v>2731</v>
      </c>
      <c r="J188" t="s">
        <v>2732</v>
      </c>
      <c r="M188" t="s">
        <v>161</v>
      </c>
      <c r="N188" s="54">
        <v>45686.670671296299</v>
      </c>
      <c r="O188" s="54"/>
      <c r="P188" s="54"/>
      <c r="Q188" t="s">
        <v>2613</v>
      </c>
      <c r="R188" t="s">
        <v>161</v>
      </c>
    </row>
    <row r="189" spans="1:18" x14ac:dyDescent="0.3">
      <c r="A189" t="s">
        <v>884</v>
      </c>
      <c r="B189" t="s">
        <v>2872</v>
      </c>
      <c r="C189" t="s">
        <v>2578</v>
      </c>
      <c r="D189" t="s">
        <v>2610</v>
      </c>
      <c r="E189" t="s">
        <v>2873</v>
      </c>
      <c r="F189" t="s">
        <v>2735</v>
      </c>
      <c r="G189" t="s">
        <v>161</v>
      </c>
      <c r="H189" t="s">
        <v>2591</v>
      </c>
      <c r="I189" t="s">
        <v>2592</v>
      </c>
      <c r="J189" t="s">
        <v>2593</v>
      </c>
      <c r="M189" t="s">
        <v>161</v>
      </c>
      <c r="N189" s="54">
        <v>45010.725439814814</v>
      </c>
      <c r="O189" s="54"/>
      <c r="P189" s="54"/>
      <c r="Q189" t="s">
        <v>2613</v>
      </c>
      <c r="R189" t="s">
        <v>161</v>
      </c>
    </row>
    <row r="190" spans="1:18" x14ac:dyDescent="0.3">
      <c r="A190" t="s">
        <v>884</v>
      </c>
      <c r="B190" t="s">
        <v>2872</v>
      </c>
      <c r="C190" t="s">
        <v>2578</v>
      </c>
      <c r="D190" t="s">
        <v>2610</v>
      </c>
      <c r="E190" t="s">
        <v>2874</v>
      </c>
      <c r="F190" t="s">
        <v>2735</v>
      </c>
      <c r="G190" t="s">
        <v>161</v>
      </c>
      <c r="H190" t="s">
        <v>2591</v>
      </c>
      <c r="I190" t="s">
        <v>2592</v>
      </c>
      <c r="J190" t="s">
        <v>2593</v>
      </c>
      <c r="M190" t="s">
        <v>161</v>
      </c>
      <c r="N190" s="54">
        <v>45015.738715277781</v>
      </c>
      <c r="O190" s="54"/>
      <c r="P190" s="54"/>
      <c r="Q190" t="s">
        <v>2613</v>
      </c>
      <c r="R190" t="s">
        <v>161</v>
      </c>
    </row>
    <row r="191" spans="1:18" x14ac:dyDescent="0.3">
      <c r="A191" t="s">
        <v>884</v>
      </c>
      <c r="B191" t="s">
        <v>2875</v>
      </c>
      <c r="C191" t="s">
        <v>2578</v>
      </c>
      <c r="D191" t="s">
        <v>2610</v>
      </c>
      <c r="E191" t="s">
        <v>2876</v>
      </c>
      <c r="F191" t="s">
        <v>2598</v>
      </c>
      <c r="G191" t="s">
        <v>161</v>
      </c>
      <c r="H191" t="s">
        <v>2591</v>
      </c>
      <c r="I191" t="s">
        <v>2592</v>
      </c>
      <c r="J191" t="s">
        <v>2593</v>
      </c>
      <c r="M191" t="s">
        <v>161</v>
      </c>
      <c r="N191" s="54">
        <v>45010.709733796299</v>
      </c>
      <c r="O191" s="54"/>
      <c r="P191" s="54"/>
      <c r="Q191" t="s">
        <v>2613</v>
      </c>
      <c r="R191" t="s">
        <v>161</v>
      </c>
    </row>
    <row r="192" spans="1:18" x14ac:dyDescent="0.3">
      <c r="A192" t="s">
        <v>884</v>
      </c>
      <c r="B192" t="s">
        <v>2875</v>
      </c>
      <c r="C192" t="s">
        <v>2578</v>
      </c>
      <c r="D192" t="s">
        <v>2610</v>
      </c>
      <c r="E192" t="s">
        <v>2877</v>
      </c>
      <c r="F192" t="s">
        <v>2598</v>
      </c>
      <c r="G192" t="s">
        <v>161</v>
      </c>
      <c r="H192" t="s">
        <v>2591</v>
      </c>
      <c r="I192" t="s">
        <v>2592</v>
      </c>
      <c r="J192" t="s">
        <v>2593</v>
      </c>
      <c r="M192" t="s">
        <v>161</v>
      </c>
      <c r="N192" s="54">
        <v>45776.334270833337</v>
      </c>
      <c r="O192" s="54"/>
      <c r="P192" s="54"/>
      <c r="Q192" t="s">
        <v>2613</v>
      </c>
      <c r="R192" t="s">
        <v>161</v>
      </c>
    </row>
    <row r="193" spans="1:18" x14ac:dyDescent="0.3">
      <c r="A193" t="s">
        <v>884</v>
      </c>
      <c r="B193" t="s">
        <v>2875</v>
      </c>
      <c r="C193" t="s">
        <v>2578</v>
      </c>
      <c r="D193" t="s">
        <v>2610</v>
      </c>
      <c r="E193" t="s">
        <v>2878</v>
      </c>
      <c r="F193" t="s">
        <v>2590</v>
      </c>
      <c r="G193" t="s">
        <v>161</v>
      </c>
      <c r="H193" t="s">
        <v>2703</v>
      </c>
      <c r="I193" t="s">
        <v>2704</v>
      </c>
      <c r="J193" t="s">
        <v>2705</v>
      </c>
      <c r="M193" t="s">
        <v>161</v>
      </c>
      <c r="N193" s="54">
        <v>45734.552164351851</v>
      </c>
      <c r="O193" s="54"/>
      <c r="P193" s="54"/>
      <c r="Q193" t="s">
        <v>2613</v>
      </c>
      <c r="R193" t="s">
        <v>161</v>
      </c>
    </row>
    <row r="194" spans="1:18" x14ac:dyDescent="0.3">
      <c r="A194" t="s">
        <v>884</v>
      </c>
      <c r="B194" t="s">
        <v>2875</v>
      </c>
      <c r="C194" t="s">
        <v>2578</v>
      </c>
      <c r="D194" t="s">
        <v>2610</v>
      </c>
      <c r="E194" t="s">
        <v>2879</v>
      </c>
      <c r="F194" t="s">
        <v>2590</v>
      </c>
      <c r="G194" t="s">
        <v>161</v>
      </c>
      <c r="H194" t="s">
        <v>2703</v>
      </c>
      <c r="I194" t="s">
        <v>2704</v>
      </c>
      <c r="J194" t="s">
        <v>2705</v>
      </c>
      <c r="M194" t="s">
        <v>161</v>
      </c>
      <c r="N194" s="54">
        <v>45769.646643518521</v>
      </c>
      <c r="O194" s="54"/>
      <c r="P194" s="54"/>
      <c r="Q194" t="s">
        <v>2613</v>
      </c>
      <c r="R194" t="s">
        <v>161</v>
      </c>
    </row>
    <row r="195" spans="1:18" x14ac:dyDescent="0.3">
      <c r="A195" t="s">
        <v>884</v>
      </c>
      <c r="B195" t="s">
        <v>2880</v>
      </c>
      <c r="C195" t="s">
        <v>2578</v>
      </c>
      <c r="D195" t="s">
        <v>2610</v>
      </c>
      <c r="E195" t="s">
        <v>2881</v>
      </c>
      <c r="F195" t="s">
        <v>2882</v>
      </c>
      <c r="G195" t="s">
        <v>161</v>
      </c>
      <c r="H195" t="s">
        <v>2603</v>
      </c>
      <c r="I195" t="s">
        <v>2603</v>
      </c>
      <c r="J195" t="s">
        <v>2773</v>
      </c>
      <c r="M195" t="s">
        <v>161</v>
      </c>
      <c r="N195" s="54">
        <v>45016.373831018522</v>
      </c>
      <c r="O195" s="54"/>
      <c r="P195" s="54"/>
      <c r="Q195" t="s">
        <v>2613</v>
      </c>
      <c r="R195" t="s">
        <v>161</v>
      </c>
    </row>
    <row r="196" spans="1:18" x14ac:dyDescent="0.3">
      <c r="A196" t="s">
        <v>884</v>
      </c>
      <c r="B196" t="s">
        <v>2880</v>
      </c>
      <c r="C196" t="s">
        <v>2578</v>
      </c>
      <c r="D196" t="s">
        <v>2610</v>
      </c>
      <c r="E196" t="s">
        <v>2883</v>
      </c>
      <c r="F196" t="s">
        <v>2882</v>
      </c>
      <c r="G196" t="s">
        <v>161</v>
      </c>
      <c r="H196" t="s">
        <v>2603</v>
      </c>
      <c r="I196" t="s">
        <v>2603</v>
      </c>
      <c r="J196" t="s">
        <v>2773</v>
      </c>
      <c r="M196" t="s">
        <v>161</v>
      </c>
      <c r="N196" s="54">
        <v>45016.37394675926</v>
      </c>
      <c r="O196" s="54"/>
      <c r="P196" s="54"/>
      <c r="Q196" t="s">
        <v>2613</v>
      </c>
      <c r="R196" t="s">
        <v>161</v>
      </c>
    </row>
    <row r="197" spans="1:18" x14ac:dyDescent="0.3">
      <c r="A197" t="s">
        <v>884</v>
      </c>
      <c r="B197" t="s">
        <v>2880</v>
      </c>
      <c r="C197" t="s">
        <v>2578</v>
      </c>
      <c r="D197" t="s">
        <v>2610</v>
      </c>
      <c r="E197" t="s">
        <v>1822</v>
      </c>
      <c r="F197" t="s">
        <v>2735</v>
      </c>
      <c r="G197" t="s">
        <v>161</v>
      </c>
      <c r="H197" t="s">
        <v>2703</v>
      </c>
      <c r="I197" t="s">
        <v>2884</v>
      </c>
      <c r="J197" t="s">
        <v>2885</v>
      </c>
      <c r="M197" t="s">
        <v>161</v>
      </c>
      <c r="N197" s="54">
        <v>45560.620775462965</v>
      </c>
      <c r="O197" s="54"/>
      <c r="P197" s="54"/>
      <c r="Q197" t="s">
        <v>2613</v>
      </c>
      <c r="R197" t="s">
        <v>161</v>
      </c>
    </row>
    <row r="198" spans="1:18" x14ac:dyDescent="0.3">
      <c r="A198" t="s">
        <v>884</v>
      </c>
      <c r="B198" t="s">
        <v>2880</v>
      </c>
      <c r="C198" t="s">
        <v>2578</v>
      </c>
      <c r="D198" t="s">
        <v>2610</v>
      </c>
      <c r="E198" t="s">
        <v>953</v>
      </c>
      <c r="F198" t="s">
        <v>2735</v>
      </c>
      <c r="G198" t="s">
        <v>161</v>
      </c>
      <c r="H198" t="s">
        <v>2703</v>
      </c>
      <c r="I198" t="s">
        <v>2884</v>
      </c>
      <c r="J198" t="s">
        <v>2885</v>
      </c>
      <c r="M198" t="s">
        <v>161</v>
      </c>
      <c r="N198" s="54">
        <v>45010.666666666664</v>
      </c>
      <c r="O198" s="54"/>
      <c r="P198" s="54"/>
      <c r="Q198" t="s">
        <v>2613</v>
      </c>
      <c r="R198" t="s">
        <v>161</v>
      </c>
    </row>
    <row r="199" spans="1:18" x14ac:dyDescent="0.3">
      <c r="A199" t="s">
        <v>884</v>
      </c>
      <c r="B199" t="s">
        <v>2886</v>
      </c>
      <c r="C199" t="s">
        <v>2578</v>
      </c>
      <c r="D199" t="s">
        <v>2610</v>
      </c>
      <c r="E199" t="s">
        <v>2887</v>
      </c>
      <c r="F199" t="s">
        <v>2590</v>
      </c>
      <c r="G199" t="s">
        <v>161</v>
      </c>
      <c r="H199" t="s">
        <v>2694</v>
      </c>
      <c r="I199" t="s">
        <v>2695</v>
      </c>
      <c r="J199" t="s">
        <v>2696</v>
      </c>
      <c r="M199" t="s">
        <v>161</v>
      </c>
      <c r="N199" s="54">
        <v>45010.675671296296</v>
      </c>
      <c r="O199" s="54"/>
      <c r="P199" s="54"/>
      <c r="Q199" t="s">
        <v>2613</v>
      </c>
      <c r="R199" t="s">
        <v>161</v>
      </c>
    </row>
    <row r="200" spans="1:18" x14ac:dyDescent="0.3">
      <c r="A200" t="s">
        <v>884</v>
      </c>
      <c r="B200" t="s">
        <v>2886</v>
      </c>
      <c r="C200" t="s">
        <v>2578</v>
      </c>
      <c r="D200" t="s">
        <v>2610</v>
      </c>
      <c r="E200" t="s">
        <v>2888</v>
      </c>
      <c r="F200" t="s">
        <v>2590</v>
      </c>
      <c r="G200" t="s">
        <v>161</v>
      </c>
      <c r="H200" t="s">
        <v>2694</v>
      </c>
      <c r="I200" t="s">
        <v>2695</v>
      </c>
      <c r="J200" t="s">
        <v>2696</v>
      </c>
      <c r="M200" t="s">
        <v>161</v>
      </c>
      <c r="N200" s="54">
        <v>45145.466400462959</v>
      </c>
      <c r="O200" s="54"/>
      <c r="P200" s="54"/>
      <c r="Q200" t="s">
        <v>2613</v>
      </c>
      <c r="R200" t="s">
        <v>161</v>
      </c>
    </row>
    <row r="201" spans="1:18" x14ac:dyDescent="0.3">
      <c r="A201" t="s">
        <v>884</v>
      </c>
      <c r="B201" t="s">
        <v>2889</v>
      </c>
      <c r="C201" t="s">
        <v>2578</v>
      </c>
      <c r="D201" t="s">
        <v>2610</v>
      </c>
      <c r="E201" t="s">
        <v>2890</v>
      </c>
      <c r="F201" t="s">
        <v>2581</v>
      </c>
      <c r="G201" t="s">
        <v>161</v>
      </c>
      <c r="H201" t="s">
        <v>2583</v>
      </c>
      <c r="I201" t="s">
        <v>2584</v>
      </c>
      <c r="J201" t="s">
        <v>2585</v>
      </c>
      <c r="M201" t="s">
        <v>161</v>
      </c>
      <c r="N201" s="54">
        <v>45015.747210648151</v>
      </c>
      <c r="O201" s="54"/>
      <c r="P201" s="54"/>
      <c r="Q201" t="s">
        <v>2613</v>
      </c>
      <c r="R201" t="s">
        <v>161</v>
      </c>
    </row>
    <row r="202" spans="1:18" x14ac:dyDescent="0.3">
      <c r="A202" t="s">
        <v>884</v>
      </c>
      <c r="B202" t="s">
        <v>2889</v>
      </c>
      <c r="C202" t="s">
        <v>2578</v>
      </c>
      <c r="D202" t="s">
        <v>2610</v>
      </c>
      <c r="E202" t="s">
        <v>2891</v>
      </c>
      <c r="F202" t="s">
        <v>2581</v>
      </c>
      <c r="G202" t="s">
        <v>161</v>
      </c>
      <c r="H202" t="s">
        <v>2583</v>
      </c>
      <c r="I202" t="s">
        <v>2584</v>
      </c>
      <c r="J202" t="s">
        <v>2585</v>
      </c>
      <c r="M202" t="s">
        <v>161</v>
      </c>
      <c r="N202" s="54">
        <v>45015.747372685182</v>
      </c>
      <c r="O202" s="54"/>
      <c r="P202" s="54"/>
      <c r="Q202" t="s">
        <v>2613</v>
      </c>
      <c r="R202" t="s">
        <v>161</v>
      </c>
    </row>
    <row r="203" spans="1:18" x14ac:dyDescent="0.3">
      <c r="A203" t="s">
        <v>884</v>
      </c>
      <c r="B203" t="s">
        <v>2892</v>
      </c>
      <c r="C203" t="s">
        <v>2578</v>
      </c>
      <c r="D203" t="s">
        <v>2610</v>
      </c>
      <c r="E203" t="s">
        <v>2893</v>
      </c>
      <c r="F203" t="s">
        <v>2590</v>
      </c>
      <c r="G203" t="s">
        <v>161</v>
      </c>
      <c r="H203" t="s">
        <v>2591</v>
      </c>
      <c r="I203" t="s">
        <v>2592</v>
      </c>
      <c r="J203" t="s">
        <v>2593</v>
      </c>
      <c r="M203" t="s">
        <v>161</v>
      </c>
      <c r="N203" s="54">
        <v>45877.377569444441</v>
      </c>
      <c r="O203" s="54"/>
      <c r="P203" s="54"/>
      <c r="Q203" t="s">
        <v>2613</v>
      </c>
      <c r="R203" t="s">
        <v>161</v>
      </c>
    </row>
    <row r="204" spans="1:18" x14ac:dyDescent="0.3">
      <c r="A204" t="s">
        <v>884</v>
      </c>
      <c r="B204" t="s">
        <v>2892</v>
      </c>
      <c r="C204" t="s">
        <v>2578</v>
      </c>
      <c r="D204" t="s">
        <v>2610</v>
      </c>
      <c r="E204" t="s">
        <v>2894</v>
      </c>
      <c r="F204" t="s">
        <v>2590</v>
      </c>
      <c r="G204" t="s">
        <v>161</v>
      </c>
      <c r="H204" t="s">
        <v>2591</v>
      </c>
      <c r="I204" t="s">
        <v>2592</v>
      </c>
      <c r="J204" t="s">
        <v>2593</v>
      </c>
      <c r="M204" t="s">
        <v>161</v>
      </c>
      <c r="N204" s="54">
        <v>45574.289826388886</v>
      </c>
      <c r="O204" s="54"/>
      <c r="P204" s="54"/>
      <c r="Q204" t="s">
        <v>2613</v>
      </c>
      <c r="R204" t="s">
        <v>161</v>
      </c>
    </row>
    <row r="205" spans="1:18" x14ac:dyDescent="0.3">
      <c r="A205" t="s">
        <v>884</v>
      </c>
      <c r="B205" t="s">
        <v>2895</v>
      </c>
      <c r="C205" t="s">
        <v>2578</v>
      </c>
      <c r="D205" t="s">
        <v>2610</v>
      </c>
      <c r="E205" t="s">
        <v>2896</v>
      </c>
      <c r="F205" t="s">
        <v>2598</v>
      </c>
      <c r="G205" t="s">
        <v>161</v>
      </c>
      <c r="H205" t="s">
        <v>2603</v>
      </c>
      <c r="I205" t="s">
        <v>2603</v>
      </c>
      <c r="J205" t="s">
        <v>2604</v>
      </c>
      <c r="M205" t="s">
        <v>161</v>
      </c>
      <c r="N205" s="54">
        <v>45015</v>
      </c>
      <c r="O205" s="54"/>
      <c r="P205" s="54"/>
      <c r="Q205" t="s">
        <v>2613</v>
      </c>
      <c r="R205" t="s">
        <v>161</v>
      </c>
    </row>
    <row r="206" spans="1:18" x14ac:dyDescent="0.3">
      <c r="A206" t="s">
        <v>884</v>
      </c>
      <c r="B206" t="s">
        <v>2895</v>
      </c>
      <c r="C206" t="s">
        <v>2578</v>
      </c>
      <c r="D206" t="s">
        <v>2610</v>
      </c>
      <c r="E206" t="s">
        <v>2897</v>
      </c>
      <c r="F206" t="s">
        <v>2598</v>
      </c>
      <c r="G206" t="s">
        <v>161</v>
      </c>
      <c r="H206" t="s">
        <v>2603</v>
      </c>
      <c r="I206" t="s">
        <v>2603</v>
      </c>
      <c r="J206" t="s">
        <v>2604</v>
      </c>
      <c r="M206" t="s">
        <v>161</v>
      </c>
      <c r="N206" s="54">
        <v>45015</v>
      </c>
      <c r="O206" s="54"/>
      <c r="P206" s="54"/>
      <c r="Q206" t="s">
        <v>2613</v>
      </c>
      <c r="R206" t="s">
        <v>161</v>
      </c>
    </row>
    <row r="207" spans="1:18" x14ac:dyDescent="0.3">
      <c r="A207" t="s">
        <v>884</v>
      </c>
      <c r="B207" t="s">
        <v>2898</v>
      </c>
      <c r="C207" t="s">
        <v>2578</v>
      </c>
      <c r="D207" t="s">
        <v>2610</v>
      </c>
      <c r="E207" t="s">
        <v>2899</v>
      </c>
      <c r="F207" t="s">
        <v>2735</v>
      </c>
      <c r="G207" t="s">
        <v>161</v>
      </c>
      <c r="H207" t="s">
        <v>2703</v>
      </c>
      <c r="I207" t="s">
        <v>2731</v>
      </c>
      <c r="J207" t="s">
        <v>2732</v>
      </c>
      <c r="M207" t="s">
        <v>161</v>
      </c>
      <c r="N207" s="54">
        <v>45010.759317129632</v>
      </c>
      <c r="O207" s="54"/>
      <c r="P207" s="54"/>
      <c r="Q207" t="s">
        <v>2613</v>
      </c>
      <c r="R207" t="s">
        <v>161</v>
      </c>
    </row>
    <row r="208" spans="1:18" x14ac:dyDescent="0.3">
      <c r="A208" t="s">
        <v>884</v>
      </c>
      <c r="B208" t="s">
        <v>2594</v>
      </c>
      <c r="C208" t="s">
        <v>2578</v>
      </c>
      <c r="D208" t="s">
        <v>2610</v>
      </c>
      <c r="E208" t="s">
        <v>2900</v>
      </c>
      <c r="F208" t="s">
        <v>2598</v>
      </c>
      <c r="G208" t="s">
        <v>161</v>
      </c>
      <c r="H208" t="s">
        <v>2603</v>
      </c>
      <c r="I208" t="s">
        <v>2603</v>
      </c>
      <c r="J208" t="s">
        <v>2604</v>
      </c>
      <c r="M208" t="s">
        <v>161</v>
      </c>
      <c r="N208" s="54">
        <v>45016.368148148147</v>
      </c>
      <c r="O208" s="54"/>
      <c r="P208" s="54"/>
      <c r="Q208" t="s">
        <v>2613</v>
      </c>
      <c r="R208" t="s">
        <v>161</v>
      </c>
    </row>
    <row r="209" spans="1:18" x14ac:dyDescent="0.3">
      <c r="A209" t="s">
        <v>884</v>
      </c>
      <c r="B209" t="s">
        <v>2594</v>
      </c>
      <c r="C209" t="s">
        <v>2595</v>
      </c>
      <c r="D209" t="s">
        <v>2610</v>
      </c>
      <c r="E209" t="s">
        <v>2901</v>
      </c>
      <c r="F209" t="s">
        <v>2598</v>
      </c>
      <c r="G209" t="s">
        <v>161</v>
      </c>
      <c r="H209" t="s">
        <v>2583</v>
      </c>
      <c r="I209" t="s">
        <v>2584</v>
      </c>
      <c r="J209" t="s">
        <v>2599</v>
      </c>
      <c r="M209" t="s">
        <v>161</v>
      </c>
      <c r="N209" s="54">
        <v>45015</v>
      </c>
      <c r="O209" s="54"/>
      <c r="P209" s="54"/>
      <c r="Q209" t="s">
        <v>2613</v>
      </c>
      <c r="R209" t="s">
        <v>161</v>
      </c>
    </row>
    <row r="210" spans="1:18" x14ac:dyDescent="0.3">
      <c r="A210" t="s">
        <v>884</v>
      </c>
      <c r="B210" t="s">
        <v>2594</v>
      </c>
      <c r="C210" t="s">
        <v>2595</v>
      </c>
      <c r="D210" t="s">
        <v>2610</v>
      </c>
      <c r="E210" t="s">
        <v>2902</v>
      </c>
      <c r="F210" t="s">
        <v>2598</v>
      </c>
      <c r="G210" t="s">
        <v>161</v>
      </c>
      <c r="H210" t="s">
        <v>2583</v>
      </c>
      <c r="I210" t="s">
        <v>2584</v>
      </c>
      <c r="J210" t="s">
        <v>2599</v>
      </c>
      <c r="M210" t="s">
        <v>161</v>
      </c>
      <c r="N210" s="54">
        <v>45345.657395833332</v>
      </c>
      <c r="O210" s="54"/>
      <c r="P210" s="54"/>
      <c r="Q210" t="s">
        <v>2613</v>
      </c>
      <c r="R210" t="s">
        <v>161</v>
      </c>
    </row>
    <row r="211" spans="1:18" x14ac:dyDescent="0.3">
      <c r="A211" t="s">
        <v>884</v>
      </c>
      <c r="B211" t="s">
        <v>2903</v>
      </c>
      <c r="C211" t="s">
        <v>2578</v>
      </c>
      <c r="D211" t="s">
        <v>2610</v>
      </c>
      <c r="E211" t="s">
        <v>2904</v>
      </c>
      <c r="F211" t="s">
        <v>2590</v>
      </c>
      <c r="G211" t="s">
        <v>161</v>
      </c>
      <c r="H211" t="s">
        <v>2703</v>
      </c>
      <c r="I211" t="s">
        <v>2704</v>
      </c>
      <c r="J211" t="s">
        <v>2705</v>
      </c>
      <c r="M211" t="s">
        <v>161</v>
      </c>
      <c r="N211" s="54">
        <v>45015</v>
      </c>
      <c r="O211" s="54"/>
      <c r="P211" s="54"/>
      <c r="Q211" t="s">
        <v>2613</v>
      </c>
      <c r="R211" t="s">
        <v>161</v>
      </c>
    </row>
    <row r="212" spans="1:18" x14ac:dyDescent="0.3">
      <c r="A212" t="s">
        <v>884</v>
      </c>
      <c r="B212" t="s">
        <v>2903</v>
      </c>
      <c r="C212" t="s">
        <v>2578</v>
      </c>
      <c r="D212" t="s">
        <v>2610</v>
      </c>
      <c r="E212" t="s">
        <v>2905</v>
      </c>
      <c r="F212" t="s">
        <v>2590</v>
      </c>
      <c r="G212" t="s">
        <v>161</v>
      </c>
      <c r="H212" t="s">
        <v>2703</v>
      </c>
      <c r="I212" t="s">
        <v>2704</v>
      </c>
      <c r="J212" t="s">
        <v>2705</v>
      </c>
      <c r="M212" t="s">
        <v>161</v>
      </c>
      <c r="N212" s="54">
        <v>45015</v>
      </c>
      <c r="O212" s="54"/>
      <c r="P212" s="54"/>
      <c r="Q212" t="s">
        <v>2613</v>
      </c>
      <c r="R212" t="s">
        <v>161</v>
      </c>
    </row>
    <row r="213" spans="1:18" x14ac:dyDescent="0.3">
      <c r="A213" t="s">
        <v>884</v>
      </c>
      <c r="B213" t="s">
        <v>2906</v>
      </c>
      <c r="C213" t="s">
        <v>2578</v>
      </c>
      <c r="D213" t="s">
        <v>2610</v>
      </c>
      <c r="E213" t="s">
        <v>2907</v>
      </c>
      <c r="F213" t="s">
        <v>2590</v>
      </c>
      <c r="G213" t="s">
        <v>161</v>
      </c>
      <c r="H213" t="s">
        <v>2591</v>
      </c>
      <c r="I213" t="s">
        <v>2689</v>
      </c>
      <c r="J213" t="s">
        <v>2690</v>
      </c>
      <c r="M213" t="s">
        <v>161</v>
      </c>
      <c r="N213" s="54">
        <v>45162.666493055556</v>
      </c>
      <c r="O213" s="54"/>
      <c r="P213" s="54"/>
      <c r="Q213" t="s">
        <v>2613</v>
      </c>
      <c r="R213" t="s">
        <v>161</v>
      </c>
    </row>
    <row r="214" spans="1:18" x14ac:dyDescent="0.3">
      <c r="A214" t="s">
        <v>884</v>
      </c>
      <c r="B214" t="s">
        <v>2906</v>
      </c>
      <c r="C214" t="s">
        <v>2578</v>
      </c>
      <c r="D214" t="s">
        <v>2610</v>
      </c>
      <c r="E214" t="s">
        <v>2908</v>
      </c>
      <c r="F214" t="s">
        <v>2590</v>
      </c>
      <c r="G214" t="s">
        <v>161</v>
      </c>
      <c r="H214" t="s">
        <v>2591</v>
      </c>
      <c r="I214" t="s">
        <v>2689</v>
      </c>
      <c r="J214" t="s">
        <v>2690</v>
      </c>
      <c r="M214" t="s">
        <v>161</v>
      </c>
      <c r="N214" s="54">
        <v>45833.346284722225</v>
      </c>
      <c r="O214" s="54"/>
      <c r="P214" s="54"/>
      <c r="Q214" t="s">
        <v>2613</v>
      </c>
      <c r="R214" t="s">
        <v>161</v>
      </c>
    </row>
    <row r="215" spans="1:18" x14ac:dyDescent="0.3">
      <c r="A215" t="s">
        <v>884</v>
      </c>
      <c r="B215" t="s">
        <v>2909</v>
      </c>
      <c r="C215" t="s">
        <v>2578</v>
      </c>
      <c r="D215" t="s">
        <v>2610</v>
      </c>
      <c r="E215" t="s">
        <v>2910</v>
      </c>
      <c r="F215" t="s">
        <v>2590</v>
      </c>
      <c r="G215" t="s">
        <v>161</v>
      </c>
      <c r="H215" t="s">
        <v>2591</v>
      </c>
      <c r="I215" t="s">
        <v>2592</v>
      </c>
      <c r="J215" t="s">
        <v>2593</v>
      </c>
      <c r="M215" t="s">
        <v>161</v>
      </c>
      <c r="N215" s="54">
        <v>45667.40724537037</v>
      </c>
      <c r="O215" s="54"/>
      <c r="P215" s="54"/>
      <c r="Q215" t="s">
        <v>2613</v>
      </c>
      <c r="R215" t="s">
        <v>161</v>
      </c>
    </row>
    <row r="216" spans="1:18" x14ac:dyDescent="0.3">
      <c r="A216" t="s">
        <v>884</v>
      </c>
      <c r="B216" t="s">
        <v>2909</v>
      </c>
      <c r="C216" t="s">
        <v>2578</v>
      </c>
      <c r="D216" t="s">
        <v>2610</v>
      </c>
      <c r="E216" t="s">
        <v>2911</v>
      </c>
      <c r="F216" t="s">
        <v>2590</v>
      </c>
      <c r="G216" t="s">
        <v>161</v>
      </c>
      <c r="H216" t="s">
        <v>2591</v>
      </c>
      <c r="I216" t="s">
        <v>2592</v>
      </c>
      <c r="J216" t="s">
        <v>2593</v>
      </c>
      <c r="M216" t="s">
        <v>161</v>
      </c>
      <c r="N216" s="54">
        <v>45862.430775462963</v>
      </c>
      <c r="O216" s="54"/>
      <c r="P216" s="54"/>
      <c r="Q216" t="s">
        <v>2613</v>
      </c>
      <c r="R216" t="s">
        <v>161</v>
      </c>
    </row>
    <row r="217" spans="1:18" x14ac:dyDescent="0.3">
      <c r="A217" t="s">
        <v>884</v>
      </c>
      <c r="B217" t="s">
        <v>2912</v>
      </c>
      <c r="C217" t="s">
        <v>2578</v>
      </c>
      <c r="D217" t="s">
        <v>2610</v>
      </c>
      <c r="E217" t="s">
        <v>2913</v>
      </c>
      <c r="F217" t="s">
        <v>2590</v>
      </c>
      <c r="G217" t="s">
        <v>161</v>
      </c>
      <c r="H217" t="s">
        <v>2591</v>
      </c>
      <c r="I217" t="s">
        <v>2689</v>
      </c>
      <c r="J217" t="s">
        <v>2690</v>
      </c>
      <c r="M217" t="s">
        <v>161</v>
      </c>
      <c r="N217" s="54">
        <v>45015.735092592593</v>
      </c>
      <c r="O217" s="54"/>
      <c r="P217" s="54"/>
      <c r="Q217" t="s">
        <v>2613</v>
      </c>
      <c r="R217" t="s">
        <v>161</v>
      </c>
    </row>
    <row r="218" spans="1:18" x14ac:dyDescent="0.3">
      <c r="A218" t="s">
        <v>884</v>
      </c>
      <c r="B218" t="s">
        <v>2912</v>
      </c>
      <c r="C218" t="s">
        <v>2578</v>
      </c>
      <c r="D218" t="s">
        <v>2610</v>
      </c>
      <c r="E218" t="s">
        <v>2914</v>
      </c>
      <c r="F218" t="s">
        <v>2590</v>
      </c>
      <c r="G218" t="s">
        <v>161</v>
      </c>
      <c r="H218" t="s">
        <v>2591</v>
      </c>
      <c r="I218" t="s">
        <v>2689</v>
      </c>
      <c r="J218" t="s">
        <v>2690</v>
      </c>
      <c r="M218" t="s">
        <v>161</v>
      </c>
      <c r="N218" s="54">
        <v>45015</v>
      </c>
      <c r="O218" s="54"/>
      <c r="P218" s="54"/>
      <c r="Q218" t="s">
        <v>2613</v>
      </c>
      <c r="R218" t="s">
        <v>161</v>
      </c>
    </row>
    <row r="219" spans="1:18" x14ac:dyDescent="0.3">
      <c r="A219" t="s">
        <v>884</v>
      </c>
      <c r="B219" t="s">
        <v>2915</v>
      </c>
      <c r="C219" t="s">
        <v>2578</v>
      </c>
      <c r="D219" t="s">
        <v>2610</v>
      </c>
      <c r="E219" t="s">
        <v>2916</v>
      </c>
      <c r="F219" t="s">
        <v>2581</v>
      </c>
      <c r="G219" t="s">
        <v>161</v>
      </c>
      <c r="H219" t="s">
        <v>2583</v>
      </c>
      <c r="I219" t="s">
        <v>2584</v>
      </c>
      <c r="J219" t="s">
        <v>2585</v>
      </c>
      <c r="M219" t="s">
        <v>161</v>
      </c>
      <c r="N219" s="54">
        <v>45015.748055555552</v>
      </c>
      <c r="O219" s="54"/>
      <c r="P219" s="54"/>
      <c r="Q219" t="s">
        <v>2613</v>
      </c>
      <c r="R219" t="s">
        <v>161</v>
      </c>
    </row>
    <row r="220" spans="1:18" x14ac:dyDescent="0.3">
      <c r="A220" t="s">
        <v>884</v>
      </c>
      <c r="B220" t="s">
        <v>2915</v>
      </c>
      <c r="C220" t="s">
        <v>2578</v>
      </c>
      <c r="D220" t="s">
        <v>2610</v>
      </c>
      <c r="E220" t="s">
        <v>2917</v>
      </c>
      <c r="F220" t="s">
        <v>2581</v>
      </c>
      <c r="G220" t="s">
        <v>161</v>
      </c>
      <c r="H220" t="s">
        <v>2583</v>
      </c>
      <c r="I220" t="s">
        <v>2584</v>
      </c>
      <c r="J220" t="s">
        <v>2585</v>
      </c>
      <c r="M220" t="s">
        <v>161</v>
      </c>
      <c r="N220" s="54">
        <v>45015</v>
      </c>
      <c r="O220" s="54"/>
      <c r="P220" s="54"/>
      <c r="Q220" t="s">
        <v>2613</v>
      </c>
      <c r="R220" t="s">
        <v>161</v>
      </c>
    </row>
    <row r="221" spans="1:18" x14ac:dyDescent="0.3">
      <c r="A221" t="s">
        <v>884</v>
      </c>
      <c r="B221" t="s">
        <v>2915</v>
      </c>
      <c r="C221" t="s">
        <v>2578</v>
      </c>
      <c r="D221" t="s">
        <v>2610</v>
      </c>
      <c r="E221" t="s">
        <v>2918</v>
      </c>
      <c r="F221" t="s">
        <v>2581</v>
      </c>
      <c r="G221" t="s">
        <v>161</v>
      </c>
      <c r="H221" t="s">
        <v>2583</v>
      </c>
      <c r="I221" t="s">
        <v>2584</v>
      </c>
      <c r="J221" t="s">
        <v>2585</v>
      </c>
      <c r="M221" t="s">
        <v>161</v>
      </c>
      <c r="N221" s="54">
        <v>45015</v>
      </c>
      <c r="O221" s="54"/>
      <c r="P221" s="54"/>
      <c r="Q221" t="s">
        <v>2613</v>
      </c>
      <c r="R221" t="s">
        <v>161</v>
      </c>
    </row>
    <row r="222" spans="1:18" x14ac:dyDescent="0.3">
      <c r="A222" t="s">
        <v>884</v>
      </c>
      <c r="B222" t="s">
        <v>2919</v>
      </c>
      <c r="C222" t="s">
        <v>2578</v>
      </c>
      <c r="D222" t="s">
        <v>2610</v>
      </c>
      <c r="E222" t="s">
        <v>2920</v>
      </c>
      <c r="F222" t="s">
        <v>2581</v>
      </c>
      <c r="G222" t="s">
        <v>161</v>
      </c>
      <c r="H222" t="s">
        <v>2583</v>
      </c>
      <c r="I222" t="s">
        <v>2584</v>
      </c>
      <c r="J222" t="s">
        <v>2585</v>
      </c>
      <c r="M222" t="s">
        <v>161</v>
      </c>
      <c r="N222" s="54">
        <v>45015</v>
      </c>
      <c r="O222" s="54"/>
      <c r="P222" s="54"/>
      <c r="Q222" t="s">
        <v>2613</v>
      </c>
      <c r="R222" t="s">
        <v>161</v>
      </c>
    </row>
    <row r="223" spans="1:18" x14ac:dyDescent="0.3">
      <c r="A223" t="s">
        <v>884</v>
      </c>
      <c r="B223" t="s">
        <v>2919</v>
      </c>
      <c r="C223" t="s">
        <v>2578</v>
      </c>
      <c r="D223" t="s">
        <v>2610</v>
      </c>
      <c r="E223" t="s">
        <v>2921</v>
      </c>
      <c r="F223" t="s">
        <v>2581</v>
      </c>
      <c r="G223" t="s">
        <v>161</v>
      </c>
      <c r="H223" t="s">
        <v>2583</v>
      </c>
      <c r="I223" t="s">
        <v>2584</v>
      </c>
      <c r="J223" t="s">
        <v>2585</v>
      </c>
      <c r="M223" t="s">
        <v>161</v>
      </c>
      <c r="N223" s="54">
        <v>45015</v>
      </c>
      <c r="O223" s="54"/>
      <c r="P223" s="54"/>
      <c r="Q223" t="s">
        <v>2613</v>
      </c>
      <c r="R223" t="s">
        <v>161</v>
      </c>
    </row>
    <row r="224" spans="1:18" x14ac:dyDescent="0.3">
      <c r="A224" t="s">
        <v>884</v>
      </c>
      <c r="B224" t="s">
        <v>2919</v>
      </c>
      <c r="C224" t="s">
        <v>2578</v>
      </c>
      <c r="D224" t="s">
        <v>2610</v>
      </c>
      <c r="E224" t="s">
        <v>2922</v>
      </c>
      <c r="F224" t="s">
        <v>2581</v>
      </c>
      <c r="G224" t="s">
        <v>161</v>
      </c>
      <c r="H224" t="s">
        <v>2583</v>
      </c>
      <c r="I224" t="s">
        <v>2584</v>
      </c>
      <c r="J224" t="s">
        <v>2585</v>
      </c>
      <c r="M224" t="s">
        <v>161</v>
      </c>
      <c r="N224" s="54">
        <v>45600.391412037039</v>
      </c>
      <c r="O224" s="54"/>
      <c r="P224" s="54"/>
      <c r="Q224" t="s">
        <v>2613</v>
      </c>
      <c r="R224" t="s">
        <v>161</v>
      </c>
    </row>
    <row r="225" spans="1:18" x14ac:dyDescent="0.3">
      <c r="A225" t="s">
        <v>884</v>
      </c>
      <c r="B225" t="s">
        <v>2919</v>
      </c>
      <c r="C225" t="s">
        <v>2578</v>
      </c>
      <c r="D225" t="s">
        <v>2610</v>
      </c>
      <c r="E225" t="s">
        <v>2923</v>
      </c>
      <c r="F225" t="s">
        <v>2581</v>
      </c>
      <c r="G225" t="s">
        <v>161</v>
      </c>
      <c r="H225" t="s">
        <v>2583</v>
      </c>
      <c r="I225" t="s">
        <v>2584</v>
      </c>
      <c r="J225" t="s">
        <v>2585</v>
      </c>
      <c r="M225" t="s">
        <v>161</v>
      </c>
      <c r="N225" s="54">
        <v>45857.33866898148</v>
      </c>
      <c r="O225" s="54"/>
      <c r="P225" s="54"/>
      <c r="Q225" t="s">
        <v>2613</v>
      </c>
      <c r="R225" t="s">
        <v>161</v>
      </c>
    </row>
    <row r="226" spans="1:18" x14ac:dyDescent="0.3">
      <c r="A226" t="s">
        <v>884</v>
      </c>
      <c r="B226" t="s">
        <v>2919</v>
      </c>
      <c r="C226" t="s">
        <v>2578</v>
      </c>
      <c r="D226" t="s">
        <v>2610</v>
      </c>
      <c r="E226" t="s">
        <v>2924</v>
      </c>
      <c r="F226" t="s">
        <v>2590</v>
      </c>
      <c r="G226" t="s">
        <v>161</v>
      </c>
      <c r="H226" t="s">
        <v>2703</v>
      </c>
      <c r="I226" t="s">
        <v>2704</v>
      </c>
      <c r="J226" t="s">
        <v>2705</v>
      </c>
      <c r="M226" t="s">
        <v>161</v>
      </c>
      <c r="N226" s="54">
        <v>45568.671307870369</v>
      </c>
      <c r="O226" s="54"/>
      <c r="P226" s="54"/>
      <c r="Q226" t="s">
        <v>2613</v>
      </c>
      <c r="R226" t="s">
        <v>161</v>
      </c>
    </row>
    <row r="227" spans="1:18" x14ac:dyDescent="0.3">
      <c r="A227" t="s">
        <v>884</v>
      </c>
      <c r="B227" t="s">
        <v>2919</v>
      </c>
      <c r="C227" t="s">
        <v>2578</v>
      </c>
      <c r="D227" t="s">
        <v>2610</v>
      </c>
      <c r="E227" t="s">
        <v>2925</v>
      </c>
      <c r="F227" t="s">
        <v>2590</v>
      </c>
      <c r="G227" t="s">
        <v>161</v>
      </c>
      <c r="H227" t="s">
        <v>2703</v>
      </c>
      <c r="I227" t="s">
        <v>2704</v>
      </c>
      <c r="J227" t="s">
        <v>2705</v>
      </c>
      <c r="M227" t="s">
        <v>161</v>
      </c>
      <c r="N227" s="54">
        <v>45506.708715277775</v>
      </c>
      <c r="O227" s="54"/>
      <c r="P227" s="54"/>
      <c r="Q227" t="s">
        <v>2613</v>
      </c>
      <c r="R227" t="s">
        <v>161</v>
      </c>
    </row>
    <row r="228" spans="1:18" x14ac:dyDescent="0.3">
      <c r="A228" t="s">
        <v>884</v>
      </c>
      <c r="B228" t="s">
        <v>2919</v>
      </c>
      <c r="C228" t="s">
        <v>2578</v>
      </c>
      <c r="D228" t="s">
        <v>2610</v>
      </c>
      <c r="E228" t="s">
        <v>2926</v>
      </c>
      <c r="F228" t="s">
        <v>2581</v>
      </c>
      <c r="G228" t="s">
        <v>161</v>
      </c>
      <c r="H228" t="s">
        <v>2583</v>
      </c>
      <c r="I228" t="s">
        <v>2584</v>
      </c>
      <c r="J228" t="s">
        <v>2585</v>
      </c>
      <c r="M228" t="s">
        <v>161</v>
      </c>
      <c r="N228" s="54">
        <v>45237.459374999999</v>
      </c>
      <c r="O228" s="54"/>
      <c r="P228" s="54"/>
      <c r="Q228" t="s">
        <v>2613</v>
      </c>
      <c r="R228" t="s">
        <v>161</v>
      </c>
    </row>
    <row r="229" spans="1:18" x14ac:dyDescent="0.3">
      <c r="A229" t="s">
        <v>884</v>
      </c>
      <c r="B229" t="s">
        <v>2927</v>
      </c>
      <c r="C229" t="s">
        <v>2578</v>
      </c>
      <c r="D229" t="s">
        <v>2610</v>
      </c>
      <c r="E229" t="s">
        <v>2928</v>
      </c>
      <c r="F229" t="s">
        <v>2581</v>
      </c>
      <c r="G229" t="s">
        <v>161</v>
      </c>
      <c r="H229" t="s">
        <v>2703</v>
      </c>
      <c r="I229" t="s">
        <v>2709</v>
      </c>
      <c r="J229" t="s">
        <v>2710</v>
      </c>
      <c r="M229" t="s">
        <v>161</v>
      </c>
      <c r="N229" s="54">
        <v>45010.729907407411</v>
      </c>
      <c r="O229" s="54"/>
      <c r="P229" s="54"/>
      <c r="Q229" t="s">
        <v>2613</v>
      </c>
      <c r="R229" t="s">
        <v>161</v>
      </c>
    </row>
    <row r="230" spans="1:18" x14ac:dyDescent="0.3">
      <c r="A230" t="s">
        <v>884</v>
      </c>
      <c r="B230" t="s">
        <v>2927</v>
      </c>
      <c r="C230" t="s">
        <v>2578</v>
      </c>
      <c r="D230" t="s">
        <v>2610</v>
      </c>
      <c r="E230" t="s">
        <v>2929</v>
      </c>
      <c r="F230" t="s">
        <v>2581</v>
      </c>
      <c r="G230" t="s">
        <v>161</v>
      </c>
      <c r="H230" t="s">
        <v>2703</v>
      </c>
      <c r="I230" t="s">
        <v>2709</v>
      </c>
      <c r="J230" t="s">
        <v>2710</v>
      </c>
      <c r="M230" t="s">
        <v>161</v>
      </c>
      <c r="N230" s="54">
        <v>45010.730138888888</v>
      </c>
      <c r="O230" s="54"/>
      <c r="P230" s="54"/>
      <c r="Q230" t="s">
        <v>2613</v>
      </c>
      <c r="R230" t="s">
        <v>161</v>
      </c>
    </row>
    <row r="231" spans="1:18" x14ac:dyDescent="0.3">
      <c r="A231" t="s">
        <v>884</v>
      </c>
      <c r="B231" t="s">
        <v>2930</v>
      </c>
      <c r="C231" t="s">
        <v>2578</v>
      </c>
      <c r="D231" t="s">
        <v>2610</v>
      </c>
      <c r="E231" t="s">
        <v>2931</v>
      </c>
      <c r="F231" t="s">
        <v>2590</v>
      </c>
      <c r="G231" t="s">
        <v>161</v>
      </c>
      <c r="H231" t="s">
        <v>2694</v>
      </c>
      <c r="I231" t="s">
        <v>2695</v>
      </c>
      <c r="J231" t="s">
        <v>2696</v>
      </c>
      <c r="M231" t="s">
        <v>161</v>
      </c>
      <c r="N231" s="54">
        <v>45010.676504629628</v>
      </c>
      <c r="O231" s="54"/>
      <c r="P231" s="54"/>
      <c r="Q231" t="s">
        <v>2613</v>
      </c>
      <c r="R231" t="s">
        <v>161</v>
      </c>
    </row>
    <row r="232" spans="1:18" x14ac:dyDescent="0.3">
      <c r="A232" t="s">
        <v>884</v>
      </c>
      <c r="B232" t="s">
        <v>2930</v>
      </c>
      <c r="C232" t="s">
        <v>2578</v>
      </c>
      <c r="D232" t="s">
        <v>2610</v>
      </c>
      <c r="E232" t="s">
        <v>2932</v>
      </c>
      <c r="F232" t="s">
        <v>2590</v>
      </c>
      <c r="G232" t="s">
        <v>161</v>
      </c>
      <c r="H232" t="s">
        <v>2694</v>
      </c>
      <c r="I232" t="s">
        <v>2695</v>
      </c>
      <c r="J232" t="s">
        <v>2696</v>
      </c>
      <c r="M232" t="s">
        <v>161</v>
      </c>
      <c r="N232" s="54">
        <v>45010.676655092589</v>
      </c>
      <c r="O232" s="54"/>
      <c r="P232" s="54"/>
      <c r="Q232" t="s">
        <v>2613</v>
      </c>
      <c r="R232" t="s">
        <v>161</v>
      </c>
    </row>
    <row r="233" spans="1:18" x14ac:dyDescent="0.3">
      <c r="A233" t="s">
        <v>884</v>
      </c>
      <c r="B233" t="s">
        <v>2930</v>
      </c>
      <c r="C233" t="s">
        <v>2578</v>
      </c>
      <c r="D233" t="s">
        <v>2610</v>
      </c>
      <c r="E233" t="s">
        <v>2933</v>
      </c>
      <c r="F233" t="s">
        <v>2590</v>
      </c>
      <c r="G233" t="s">
        <v>161</v>
      </c>
      <c r="H233" t="s">
        <v>2703</v>
      </c>
      <c r="I233" t="s">
        <v>2704</v>
      </c>
      <c r="J233" t="s">
        <v>2705</v>
      </c>
      <c r="M233" t="s">
        <v>161</v>
      </c>
      <c r="N233" s="54">
        <v>45699.36445601852</v>
      </c>
      <c r="O233" s="54"/>
      <c r="P233" s="54"/>
      <c r="Q233" t="s">
        <v>2613</v>
      </c>
      <c r="R233" t="s">
        <v>161</v>
      </c>
    </row>
    <row r="234" spans="1:18" x14ac:dyDescent="0.3">
      <c r="A234" t="s">
        <v>884</v>
      </c>
      <c r="B234" t="s">
        <v>2930</v>
      </c>
      <c r="C234" t="s">
        <v>2578</v>
      </c>
      <c r="D234" t="s">
        <v>2610</v>
      </c>
      <c r="E234" t="s">
        <v>2934</v>
      </c>
      <c r="F234" t="s">
        <v>2590</v>
      </c>
      <c r="G234" t="s">
        <v>161</v>
      </c>
      <c r="H234" t="s">
        <v>2703</v>
      </c>
      <c r="I234" t="s">
        <v>2704</v>
      </c>
      <c r="J234" t="s">
        <v>2705</v>
      </c>
      <c r="M234" t="s">
        <v>161</v>
      </c>
      <c r="N234" s="54">
        <v>45257.670393518521</v>
      </c>
      <c r="O234" s="54"/>
      <c r="P234" s="54"/>
      <c r="Q234" t="s">
        <v>2613</v>
      </c>
      <c r="R234" t="s">
        <v>161</v>
      </c>
    </row>
    <row r="235" spans="1:18" x14ac:dyDescent="0.3">
      <c r="A235" t="s">
        <v>884</v>
      </c>
      <c r="B235" t="s">
        <v>2935</v>
      </c>
      <c r="C235" t="s">
        <v>2578</v>
      </c>
      <c r="D235" t="s">
        <v>2610</v>
      </c>
      <c r="E235" t="s">
        <v>2936</v>
      </c>
      <c r="F235" t="s">
        <v>2590</v>
      </c>
      <c r="G235" t="s">
        <v>161</v>
      </c>
      <c r="H235" t="s">
        <v>2591</v>
      </c>
      <c r="I235" t="s">
        <v>2689</v>
      </c>
      <c r="J235" t="s">
        <v>2690</v>
      </c>
      <c r="M235" t="s">
        <v>161</v>
      </c>
      <c r="N235" s="54">
        <v>45317.592673611114</v>
      </c>
      <c r="O235" s="54"/>
      <c r="P235" s="54"/>
      <c r="Q235" t="s">
        <v>2613</v>
      </c>
      <c r="R235" t="s">
        <v>161</v>
      </c>
    </row>
    <row r="236" spans="1:18" x14ac:dyDescent="0.3">
      <c r="A236" t="s">
        <v>884</v>
      </c>
      <c r="B236" t="s">
        <v>2935</v>
      </c>
      <c r="C236" t="s">
        <v>2578</v>
      </c>
      <c r="D236" t="s">
        <v>2610</v>
      </c>
      <c r="E236" t="s">
        <v>2937</v>
      </c>
      <c r="F236" t="s">
        <v>2590</v>
      </c>
      <c r="G236" t="s">
        <v>161</v>
      </c>
      <c r="H236" t="s">
        <v>2591</v>
      </c>
      <c r="I236" t="s">
        <v>2689</v>
      </c>
      <c r="J236" t="s">
        <v>2690</v>
      </c>
      <c r="M236" t="s">
        <v>161</v>
      </c>
      <c r="N236" s="54">
        <v>45812.457604166666</v>
      </c>
      <c r="O236" s="54"/>
      <c r="P236" s="54"/>
      <c r="Q236" t="s">
        <v>2613</v>
      </c>
      <c r="R236" t="s">
        <v>161</v>
      </c>
    </row>
    <row r="237" spans="1:18" x14ac:dyDescent="0.3">
      <c r="A237" t="s">
        <v>884</v>
      </c>
      <c r="B237" t="s">
        <v>2938</v>
      </c>
      <c r="C237" t="s">
        <v>2578</v>
      </c>
      <c r="D237" t="s">
        <v>2610</v>
      </c>
      <c r="E237" t="s">
        <v>2939</v>
      </c>
      <c r="F237" t="s">
        <v>2581</v>
      </c>
      <c r="G237" t="s">
        <v>161</v>
      </c>
      <c r="H237" t="s">
        <v>2583</v>
      </c>
      <c r="I237" t="s">
        <v>2584</v>
      </c>
      <c r="J237" t="s">
        <v>2585</v>
      </c>
      <c r="M237" t="s">
        <v>161</v>
      </c>
      <c r="N237" s="54">
        <v>45015.74895833333</v>
      </c>
      <c r="O237" s="54"/>
      <c r="P237" s="54"/>
      <c r="Q237" t="s">
        <v>2613</v>
      </c>
      <c r="R237" t="s">
        <v>161</v>
      </c>
    </row>
    <row r="238" spans="1:18" x14ac:dyDescent="0.3">
      <c r="A238" t="s">
        <v>884</v>
      </c>
      <c r="B238" t="s">
        <v>2938</v>
      </c>
      <c r="C238" t="s">
        <v>2578</v>
      </c>
      <c r="D238" t="s">
        <v>2610</v>
      </c>
      <c r="E238" t="s">
        <v>2940</v>
      </c>
      <c r="F238" t="s">
        <v>2581</v>
      </c>
      <c r="G238" t="s">
        <v>161</v>
      </c>
      <c r="H238" t="s">
        <v>2583</v>
      </c>
      <c r="I238" t="s">
        <v>2584</v>
      </c>
      <c r="J238" t="s">
        <v>2585</v>
      </c>
      <c r="M238" t="s">
        <v>161</v>
      </c>
      <c r="N238" s="54">
        <v>45462.55972222222</v>
      </c>
      <c r="O238" s="54"/>
      <c r="P238" s="54"/>
      <c r="Q238" t="s">
        <v>2613</v>
      </c>
      <c r="R238" t="s">
        <v>161</v>
      </c>
    </row>
    <row r="239" spans="1:18" x14ac:dyDescent="0.3">
      <c r="A239" t="s">
        <v>884</v>
      </c>
      <c r="B239" t="s">
        <v>2941</v>
      </c>
      <c r="C239" t="s">
        <v>2578</v>
      </c>
      <c r="D239" t="s">
        <v>2610</v>
      </c>
      <c r="E239" t="s">
        <v>2942</v>
      </c>
      <c r="F239" t="s">
        <v>2590</v>
      </c>
      <c r="G239" t="s">
        <v>161</v>
      </c>
      <c r="H239" t="s">
        <v>2703</v>
      </c>
      <c r="I239" t="s">
        <v>2704</v>
      </c>
      <c r="J239" t="s">
        <v>2705</v>
      </c>
      <c r="M239" t="s">
        <v>161</v>
      </c>
      <c r="N239" s="54">
        <v>45015.682187500002</v>
      </c>
      <c r="O239" s="54"/>
      <c r="P239" s="54"/>
      <c r="Q239" t="s">
        <v>2613</v>
      </c>
      <c r="R239" t="s">
        <v>161</v>
      </c>
    </row>
    <row r="240" spans="1:18" x14ac:dyDescent="0.3">
      <c r="A240" t="s">
        <v>884</v>
      </c>
      <c r="B240" t="s">
        <v>2941</v>
      </c>
      <c r="C240" t="s">
        <v>2578</v>
      </c>
      <c r="D240" t="s">
        <v>2610</v>
      </c>
      <c r="E240" t="s">
        <v>2943</v>
      </c>
      <c r="F240" t="s">
        <v>2590</v>
      </c>
      <c r="G240" t="s">
        <v>161</v>
      </c>
      <c r="H240" t="s">
        <v>2703</v>
      </c>
      <c r="I240" t="s">
        <v>2704</v>
      </c>
      <c r="J240" t="s">
        <v>2705</v>
      </c>
      <c r="M240" t="s">
        <v>161</v>
      </c>
      <c r="N240" s="54">
        <v>45015.682349537034</v>
      </c>
      <c r="O240" s="54"/>
      <c r="P240" s="54"/>
      <c r="Q240" t="s">
        <v>2613</v>
      </c>
      <c r="R240" t="s">
        <v>161</v>
      </c>
    </row>
    <row r="241" spans="1:18" x14ac:dyDescent="0.3">
      <c r="A241" t="s">
        <v>884</v>
      </c>
      <c r="B241" t="s">
        <v>2944</v>
      </c>
      <c r="C241" t="s">
        <v>2578</v>
      </c>
      <c r="D241" t="s">
        <v>2610</v>
      </c>
      <c r="E241" t="s">
        <v>2945</v>
      </c>
      <c r="F241" t="s">
        <v>2590</v>
      </c>
      <c r="G241" t="s">
        <v>161</v>
      </c>
      <c r="H241" t="s">
        <v>2703</v>
      </c>
      <c r="I241" t="s">
        <v>2704</v>
      </c>
      <c r="J241" t="s">
        <v>2705</v>
      </c>
      <c r="M241" t="s">
        <v>161</v>
      </c>
      <c r="N241" s="54">
        <v>45015.682534722226</v>
      </c>
      <c r="O241" s="54"/>
      <c r="P241" s="54"/>
      <c r="Q241" t="s">
        <v>2613</v>
      </c>
      <c r="R241" t="s">
        <v>161</v>
      </c>
    </row>
    <row r="242" spans="1:18" x14ac:dyDescent="0.3">
      <c r="A242" t="s">
        <v>884</v>
      </c>
      <c r="B242" t="s">
        <v>2944</v>
      </c>
      <c r="C242" t="s">
        <v>2578</v>
      </c>
      <c r="D242" t="s">
        <v>2610</v>
      </c>
      <c r="E242" t="s">
        <v>2946</v>
      </c>
      <c r="F242" t="s">
        <v>2590</v>
      </c>
      <c r="G242" t="s">
        <v>161</v>
      </c>
      <c r="H242" t="s">
        <v>2703</v>
      </c>
      <c r="I242" t="s">
        <v>2704</v>
      </c>
      <c r="J242" t="s">
        <v>2705</v>
      </c>
      <c r="M242" t="s">
        <v>161</v>
      </c>
      <c r="N242" s="54">
        <v>45015.683379629627</v>
      </c>
      <c r="O242" s="54"/>
      <c r="P242" s="54"/>
      <c r="Q242" t="s">
        <v>2613</v>
      </c>
      <c r="R242" t="s">
        <v>161</v>
      </c>
    </row>
    <row r="243" spans="1:18" x14ac:dyDescent="0.3">
      <c r="A243" t="s">
        <v>884</v>
      </c>
      <c r="B243" t="s">
        <v>2947</v>
      </c>
      <c r="C243" t="s">
        <v>2578</v>
      </c>
      <c r="D243" t="s">
        <v>2610</v>
      </c>
      <c r="E243" t="s">
        <v>2948</v>
      </c>
      <c r="F243" t="s">
        <v>2590</v>
      </c>
      <c r="G243" t="s">
        <v>161</v>
      </c>
      <c r="H243" t="s">
        <v>2703</v>
      </c>
      <c r="I243" t="s">
        <v>2704</v>
      </c>
      <c r="J243" t="s">
        <v>2705</v>
      </c>
      <c r="M243" t="s">
        <v>161</v>
      </c>
      <c r="N243" s="54">
        <v>45015.684027777781</v>
      </c>
      <c r="O243" s="54"/>
      <c r="P243" s="54"/>
      <c r="Q243" t="s">
        <v>2613</v>
      </c>
      <c r="R243" t="s">
        <v>161</v>
      </c>
    </row>
    <row r="244" spans="1:18" x14ac:dyDescent="0.3">
      <c r="A244" t="s">
        <v>884</v>
      </c>
      <c r="B244" t="s">
        <v>2947</v>
      </c>
      <c r="C244" t="s">
        <v>2578</v>
      </c>
      <c r="D244" t="s">
        <v>2610</v>
      </c>
      <c r="E244" t="s">
        <v>2949</v>
      </c>
      <c r="F244" t="s">
        <v>2590</v>
      </c>
      <c r="G244" t="s">
        <v>161</v>
      </c>
      <c r="H244" t="s">
        <v>2703</v>
      </c>
      <c r="I244" t="s">
        <v>2704</v>
      </c>
      <c r="J244" t="s">
        <v>2705</v>
      </c>
      <c r="M244" t="s">
        <v>161</v>
      </c>
      <c r="N244" s="54">
        <v>45015.684247685182</v>
      </c>
      <c r="O244" s="54"/>
      <c r="P244" s="54"/>
      <c r="Q244" t="s">
        <v>2613</v>
      </c>
      <c r="R244" t="s">
        <v>161</v>
      </c>
    </row>
    <row r="245" spans="1:18" x14ac:dyDescent="0.3">
      <c r="A245" t="s">
        <v>884</v>
      </c>
      <c r="B245" t="s">
        <v>2950</v>
      </c>
      <c r="C245" t="s">
        <v>2578</v>
      </c>
      <c r="D245" t="s">
        <v>2610</v>
      </c>
      <c r="E245" t="s">
        <v>2951</v>
      </c>
      <c r="F245" t="s">
        <v>2590</v>
      </c>
      <c r="G245" t="s">
        <v>161</v>
      </c>
      <c r="H245" t="s">
        <v>2703</v>
      </c>
      <c r="I245" t="s">
        <v>2704</v>
      </c>
      <c r="J245" t="s">
        <v>2705</v>
      </c>
      <c r="M245" t="s">
        <v>161</v>
      </c>
      <c r="N245" s="54">
        <v>45015.684502314813</v>
      </c>
      <c r="O245" s="54"/>
      <c r="P245" s="54"/>
      <c r="Q245" t="s">
        <v>2613</v>
      </c>
      <c r="R245" t="s">
        <v>161</v>
      </c>
    </row>
    <row r="246" spans="1:18" x14ac:dyDescent="0.3">
      <c r="A246" t="s">
        <v>884</v>
      </c>
      <c r="B246" t="s">
        <v>2950</v>
      </c>
      <c r="C246" t="s">
        <v>2578</v>
      </c>
      <c r="D246" t="s">
        <v>2610</v>
      </c>
      <c r="E246" t="s">
        <v>2952</v>
      </c>
      <c r="F246" t="s">
        <v>2590</v>
      </c>
      <c r="G246" t="s">
        <v>161</v>
      </c>
      <c r="H246" t="s">
        <v>2703</v>
      </c>
      <c r="I246" t="s">
        <v>2704</v>
      </c>
      <c r="J246" t="s">
        <v>2705</v>
      </c>
      <c r="M246" t="s">
        <v>161</v>
      </c>
      <c r="N246" s="54">
        <v>45015.684699074074</v>
      </c>
      <c r="O246" s="54"/>
      <c r="P246" s="54"/>
      <c r="Q246" t="s">
        <v>2613</v>
      </c>
      <c r="R246" t="s">
        <v>161</v>
      </c>
    </row>
    <row r="247" spans="1:18" x14ac:dyDescent="0.3">
      <c r="A247" t="s">
        <v>884</v>
      </c>
      <c r="B247" t="s">
        <v>2953</v>
      </c>
      <c r="C247" t="s">
        <v>2578</v>
      </c>
      <c r="D247" t="s">
        <v>2610</v>
      </c>
      <c r="E247" t="s">
        <v>2954</v>
      </c>
      <c r="F247" t="s">
        <v>2598</v>
      </c>
      <c r="G247" t="s">
        <v>161</v>
      </c>
      <c r="H247" t="s">
        <v>2603</v>
      </c>
      <c r="I247" t="s">
        <v>2603</v>
      </c>
      <c r="J247" t="s">
        <v>2604</v>
      </c>
      <c r="M247" t="s">
        <v>161</v>
      </c>
      <c r="N247" s="54">
        <v>45010.826851851853</v>
      </c>
      <c r="O247" s="54"/>
      <c r="P247" s="54"/>
      <c r="Q247" t="s">
        <v>2613</v>
      </c>
      <c r="R247" t="s">
        <v>161</v>
      </c>
    </row>
    <row r="248" spans="1:18" x14ac:dyDescent="0.3">
      <c r="A248" t="s">
        <v>884</v>
      </c>
      <c r="B248" t="s">
        <v>2953</v>
      </c>
      <c r="C248" t="s">
        <v>2578</v>
      </c>
      <c r="D248" t="s">
        <v>2610</v>
      </c>
      <c r="E248" t="s">
        <v>2955</v>
      </c>
      <c r="F248" t="s">
        <v>2598</v>
      </c>
      <c r="G248" t="s">
        <v>161</v>
      </c>
      <c r="H248" t="s">
        <v>2603</v>
      </c>
      <c r="I248" t="s">
        <v>2603</v>
      </c>
      <c r="J248" t="s">
        <v>2604</v>
      </c>
      <c r="M248" t="s">
        <v>161</v>
      </c>
      <c r="N248" s="54">
        <v>45390.332743055558</v>
      </c>
      <c r="O248" s="54"/>
      <c r="P248" s="54"/>
      <c r="Q248" t="s">
        <v>2613</v>
      </c>
      <c r="R248" t="s">
        <v>161</v>
      </c>
    </row>
    <row r="249" spans="1:18" x14ac:dyDescent="0.3">
      <c r="A249" t="s">
        <v>884</v>
      </c>
      <c r="B249" t="s">
        <v>2956</v>
      </c>
      <c r="C249" t="s">
        <v>2578</v>
      </c>
      <c r="D249" t="s">
        <v>2610</v>
      </c>
      <c r="E249" t="s">
        <v>2957</v>
      </c>
      <c r="F249" t="s">
        <v>2590</v>
      </c>
      <c r="G249" t="s">
        <v>161</v>
      </c>
      <c r="H249" t="s">
        <v>2591</v>
      </c>
      <c r="I249" t="s">
        <v>2592</v>
      </c>
      <c r="J249" t="s">
        <v>2593</v>
      </c>
      <c r="M249" t="s">
        <v>161</v>
      </c>
      <c r="N249" s="54">
        <v>45010.722210648149</v>
      </c>
      <c r="O249" s="54"/>
      <c r="P249" s="54"/>
      <c r="Q249" t="s">
        <v>2613</v>
      </c>
      <c r="R249" t="s">
        <v>161</v>
      </c>
    </row>
    <row r="250" spans="1:18" x14ac:dyDescent="0.3">
      <c r="A250" t="s">
        <v>884</v>
      </c>
      <c r="B250" t="s">
        <v>2956</v>
      </c>
      <c r="C250" t="s">
        <v>2578</v>
      </c>
      <c r="D250" t="s">
        <v>2610</v>
      </c>
      <c r="E250" t="s">
        <v>2958</v>
      </c>
      <c r="F250" t="s">
        <v>2590</v>
      </c>
      <c r="G250" t="s">
        <v>161</v>
      </c>
      <c r="H250" t="s">
        <v>2591</v>
      </c>
      <c r="I250" t="s">
        <v>2592</v>
      </c>
      <c r="J250" t="s">
        <v>2593</v>
      </c>
      <c r="M250" t="s">
        <v>161</v>
      </c>
      <c r="N250" s="54">
        <v>45580.385555555556</v>
      </c>
      <c r="O250" s="54"/>
      <c r="P250" s="54"/>
      <c r="Q250" t="s">
        <v>2613</v>
      </c>
      <c r="R250" t="s">
        <v>161</v>
      </c>
    </row>
    <row r="251" spans="1:18" x14ac:dyDescent="0.3">
      <c r="A251" t="s">
        <v>884</v>
      </c>
      <c r="B251" t="s">
        <v>2959</v>
      </c>
      <c r="C251" t="s">
        <v>2578</v>
      </c>
      <c r="D251" t="s">
        <v>2610</v>
      </c>
      <c r="E251" t="s">
        <v>2960</v>
      </c>
      <c r="F251" t="s">
        <v>2598</v>
      </c>
      <c r="G251" t="s">
        <v>161</v>
      </c>
      <c r="H251" t="s">
        <v>2603</v>
      </c>
      <c r="I251" t="s">
        <v>2603</v>
      </c>
      <c r="J251" t="s">
        <v>2741</v>
      </c>
      <c r="M251" t="s">
        <v>161</v>
      </c>
      <c r="N251" s="54">
        <v>45867.660682870373</v>
      </c>
      <c r="O251" s="54"/>
      <c r="P251" s="54"/>
      <c r="Q251" t="s">
        <v>2613</v>
      </c>
      <c r="R251" t="s">
        <v>161</v>
      </c>
    </row>
    <row r="252" spans="1:18" x14ac:dyDescent="0.3">
      <c r="A252" t="s">
        <v>884</v>
      </c>
      <c r="B252" t="s">
        <v>2959</v>
      </c>
      <c r="C252" t="s">
        <v>2578</v>
      </c>
      <c r="D252" t="s">
        <v>2610</v>
      </c>
      <c r="E252" t="s">
        <v>2961</v>
      </c>
      <c r="F252" t="s">
        <v>2598</v>
      </c>
      <c r="G252" t="s">
        <v>161</v>
      </c>
      <c r="H252" t="s">
        <v>2603</v>
      </c>
      <c r="I252" t="s">
        <v>2603</v>
      </c>
      <c r="J252" t="s">
        <v>2741</v>
      </c>
      <c r="M252" t="s">
        <v>161</v>
      </c>
      <c r="N252" s="54">
        <v>45568.688819444447</v>
      </c>
      <c r="O252" s="54"/>
      <c r="P252" s="54"/>
      <c r="Q252" t="s">
        <v>2613</v>
      </c>
      <c r="R252" t="s">
        <v>161</v>
      </c>
    </row>
    <row r="253" spans="1:18" x14ac:dyDescent="0.3">
      <c r="A253" t="s">
        <v>884</v>
      </c>
      <c r="B253" t="s">
        <v>2959</v>
      </c>
      <c r="C253" t="s">
        <v>2578</v>
      </c>
      <c r="D253" t="s">
        <v>2610</v>
      </c>
      <c r="E253" t="s">
        <v>2962</v>
      </c>
      <c r="F253" t="s">
        <v>2598</v>
      </c>
      <c r="G253" t="s">
        <v>161</v>
      </c>
      <c r="H253" t="s">
        <v>2603</v>
      </c>
      <c r="I253" t="s">
        <v>2603</v>
      </c>
      <c r="J253" t="s">
        <v>2741</v>
      </c>
      <c r="M253" t="s">
        <v>161</v>
      </c>
      <c r="N253" s="54">
        <v>45010.788472222222</v>
      </c>
      <c r="O253" s="54"/>
      <c r="P253" s="54"/>
      <c r="Q253" t="s">
        <v>2613</v>
      </c>
      <c r="R253" t="s">
        <v>161</v>
      </c>
    </row>
    <row r="254" spans="1:18" x14ac:dyDescent="0.3">
      <c r="A254" t="s">
        <v>884</v>
      </c>
      <c r="B254" t="s">
        <v>2959</v>
      </c>
      <c r="C254" t="s">
        <v>2578</v>
      </c>
      <c r="D254" t="s">
        <v>2610</v>
      </c>
      <c r="E254" t="s">
        <v>2963</v>
      </c>
      <c r="F254" t="s">
        <v>2598</v>
      </c>
      <c r="G254" t="s">
        <v>161</v>
      </c>
      <c r="H254" t="s">
        <v>2603</v>
      </c>
      <c r="I254" t="s">
        <v>2603</v>
      </c>
      <c r="J254" t="s">
        <v>2741</v>
      </c>
      <c r="M254" t="s">
        <v>161</v>
      </c>
      <c r="N254" s="54">
        <v>45010.792592592596</v>
      </c>
      <c r="O254" s="54"/>
      <c r="P254" s="54"/>
      <c r="Q254" t="s">
        <v>2613</v>
      </c>
      <c r="R254" t="s">
        <v>161</v>
      </c>
    </row>
    <row r="255" spans="1:18" x14ac:dyDescent="0.3">
      <c r="A255" t="s">
        <v>884</v>
      </c>
      <c r="B255" t="s">
        <v>2964</v>
      </c>
      <c r="C255" t="s">
        <v>2578</v>
      </c>
      <c r="D255" t="s">
        <v>2610</v>
      </c>
      <c r="E255" t="s">
        <v>2965</v>
      </c>
      <c r="F255" t="s">
        <v>2590</v>
      </c>
      <c r="G255" t="s">
        <v>161</v>
      </c>
      <c r="H255" t="s">
        <v>2694</v>
      </c>
      <c r="I255" t="s">
        <v>2695</v>
      </c>
      <c r="J255" t="s">
        <v>2696</v>
      </c>
      <c r="M255" t="s">
        <v>161</v>
      </c>
      <c r="N255" s="54">
        <v>45010.694293981483</v>
      </c>
      <c r="O255" s="54"/>
      <c r="P255" s="54"/>
      <c r="Q255" t="s">
        <v>2613</v>
      </c>
      <c r="R255" t="s">
        <v>161</v>
      </c>
    </row>
    <row r="256" spans="1:18" x14ac:dyDescent="0.3">
      <c r="A256" t="s">
        <v>884</v>
      </c>
      <c r="B256" t="s">
        <v>2964</v>
      </c>
      <c r="C256" t="s">
        <v>2578</v>
      </c>
      <c r="D256" t="s">
        <v>2610</v>
      </c>
      <c r="E256" t="s">
        <v>2966</v>
      </c>
      <c r="F256" t="s">
        <v>2590</v>
      </c>
      <c r="G256" t="s">
        <v>161</v>
      </c>
      <c r="H256" t="s">
        <v>2694</v>
      </c>
      <c r="I256" t="s">
        <v>2695</v>
      </c>
      <c r="J256" t="s">
        <v>2696</v>
      </c>
      <c r="M256" t="s">
        <v>161</v>
      </c>
      <c r="N256" s="54">
        <v>45010.694548611114</v>
      </c>
      <c r="O256" s="54"/>
      <c r="P256" s="54"/>
      <c r="Q256" t="s">
        <v>2613</v>
      </c>
      <c r="R256" t="s">
        <v>161</v>
      </c>
    </row>
    <row r="257" spans="1:18" x14ac:dyDescent="0.3">
      <c r="A257" t="s">
        <v>884</v>
      </c>
      <c r="B257" t="s">
        <v>2964</v>
      </c>
      <c r="C257" t="s">
        <v>2578</v>
      </c>
      <c r="D257" t="s">
        <v>2610</v>
      </c>
      <c r="E257" t="s">
        <v>2967</v>
      </c>
      <c r="F257" t="s">
        <v>2590</v>
      </c>
      <c r="G257" t="s">
        <v>161</v>
      </c>
      <c r="H257" t="s">
        <v>2694</v>
      </c>
      <c r="I257" t="s">
        <v>2695</v>
      </c>
      <c r="J257" t="s">
        <v>2696</v>
      </c>
      <c r="M257" t="s">
        <v>161</v>
      </c>
      <c r="N257" s="54">
        <v>45010.694745370369</v>
      </c>
      <c r="O257" s="54"/>
      <c r="P257" s="54"/>
      <c r="Q257" t="s">
        <v>2613</v>
      </c>
      <c r="R257" t="s">
        <v>161</v>
      </c>
    </row>
    <row r="258" spans="1:18" x14ac:dyDescent="0.3">
      <c r="A258" t="s">
        <v>884</v>
      </c>
      <c r="B258" t="s">
        <v>2968</v>
      </c>
      <c r="C258" t="s">
        <v>2578</v>
      </c>
      <c r="D258" t="s">
        <v>2610</v>
      </c>
      <c r="E258" t="s">
        <v>2969</v>
      </c>
      <c r="F258" t="s">
        <v>2581</v>
      </c>
      <c r="G258" t="s">
        <v>161</v>
      </c>
      <c r="H258" t="s">
        <v>2703</v>
      </c>
      <c r="I258" t="s">
        <v>2709</v>
      </c>
      <c r="J258" t="s">
        <v>2710</v>
      </c>
      <c r="M258" t="s">
        <v>161</v>
      </c>
      <c r="N258" s="54">
        <v>45015.740266203706</v>
      </c>
      <c r="O258" s="54"/>
      <c r="P258" s="54"/>
      <c r="Q258" t="s">
        <v>2613</v>
      </c>
      <c r="R258" t="s">
        <v>161</v>
      </c>
    </row>
    <row r="259" spans="1:18" x14ac:dyDescent="0.3">
      <c r="A259" t="s">
        <v>884</v>
      </c>
      <c r="B259" t="s">
        <v>2968</v>
      </c>
      <c r="C259" t="s">
        <v>2578</v>
      </c>
      <c r="D259" t="s">
        <v>2610</v>
      </c>
      <c r="E259" t="s">
        <v>2970</v>
      </c>
      <c r="F259" t="s">
        <v>2581</v>
      </c>
      <c r="G259" t="s">
        <v>161</v>
      </c>
      <c r="H259" t="s">
        <v>2703</v>
      </c>
      <c r="I259" t="s">
        <v>2709</v>
      </c>
      <c r="J259" t="s">
        <v>2710</v>
      </c>
      <c r="M259" t="s">
        <v>161</v>
      </c>
      <c r="N259" s="54">
        <v>45618.677083333336</v>
      </c>
      <c r="O259" s="54"/>
      <c r="P259" s="54"/>
      <c r="Q259" t="s">
        <v>2613</v>
      </c>
      <c r="R259" t="s">
        <v>161</v>
      </c>
    </row>
    <row r="260" spans="1:18" x14ac:dyDescent="0.3">
      <c r="A260" t="s">
        <v>884</v>
      </c>
      <c r="B260" t="s">
        <v>2971</v>
      </c>
      <c r="C260" t="s">
        <v>2578</v>
      </c>
      <c r="D260" t="s">
        <v>2610</v>
      </c>
      <c r="E260" t="s">
        <v>2972</v>
      </c>
      <c r="F260" t="s">
        <v>2581</v>
      </c>
      <c r="G260" t="s">
        <v>161</v>
      </c>
      <c r="H260" t="s">
        <v>2703</v>
      </c>
      <c r="I260" t="s">
        <v>2709</v>
      </c>
      <c r="J260" t="s">
        <v>2710</v>
      </c>
      <c r="M260" t="s">
        <v>161</v>
      </c>
      <c r="N260" s="54">
        <v>45010.756261574075</v>
      </c>
      <c r="O260" s="54"/>
      <c r="P260" s="54"/>
      <c r="Q260" t="s">
        <v>2613</v>
      </c>
      <c r="R260" t="s">
        <v>161</v>
      </c>
    </row>
    <row r="261" spans="1:18" x14ac:dyDescent="0.3">
      <c r="A261" t="s">
        <v>884</v>
      </c>
      <c r="B261" t="s">
        <v>2971</v>
      </c>
      <c r="C261" t="s">
        <v>2578</v>
      </c>
      <c r="D261" t="s">
        <v>2610</v>
      </c>
      <c r="E261" t="s">
        <v>2973</v>
      </c>
      <c r="F261" t="s">
        <v>2581</v>
      </c>
      <c r="G261" t="s">
        <v>161</v>
      </c>
      <c r="H261" t="s">
        <v>2703</v>
      </c>
      <c r="I261" t="s">
        <v>2709</v>
      </c>
      <c r="J261" t="s">
        <v>2710</v>
      </c>
      <c r="M261" t="s">
        <v>161</v>
      </c>
      <c r="N261" s="54">
        <v>45010.756377314814</v>
      </c>
      <c r="O261" s="54"/>
      <c r="P261" s="54"/>
      <c r="Q261" t="s">
        <v>2613</v>
      </c>
      <c r="R261" t="s">
        <v>161</v>
      </c>
    </row>
    <row r="262" spans="1:18" x14ac:dyDescent="0.3">
      <c r="A262" t="s">
        <v>884</v>
      </c>
      <c r="B262" t="s">
        <v>2971</v>
      </c>
      <c r="C262" t="s">
        <v>2578</v>
      </c>
      <c r="D262" t="s">
        <v>2610</v>
      </c>
      <c r="E262" t="s">
        <v>2974</v>
      </c>
      <c r="F262" t="s">
        <v>2581</v>
      </c>
      <c r="G262" t="s">
        <v>161</v>
      </c>
      <c r="H262" t="s">
        <v>2583</v>
      </c>
      <c r="I262" t="s">
        <v>2584</v>
      </c>
      <c r="J262" t="s">
        <v>2975</v>
      </c>
      <c r="M262" t="s">
        <v>161</v>
      </c>
      <c r="N262" s="54">
        <v>45015.749421296299</v>
      </c>
      <c r="O262" s="54"/>
      <c r="P262" s="54"/>
      <c r="Q262" t="s">
        <v>2613</v>
      </c>
      <c r="R262" t="s">
        <v>161</v>
      </c>
    </row>
    <row r="263" spans="1:18" x14ac:dyDescent="0.3">
      <c r="A263" t="s">
        <v>884</v>
      </c>
      <c r="B263" t="s">
        <v>2971</v>
      </c>
      <c r="C263" t="s">
        <v>2578</v>
      </c>
      <c r="D263" t="s">
        <v>2610</v>
      </c>
      <c r="E263" t="s">
        <v>2976</v>
      </c>
      <c r="F263" t="s">
        <v>2581</v>
      </c>
      <c r="G263" t="s">
        <v>161</v>
      </c>
      <c r="H263" t="s">
        <v>2583</v>
      </c>
      <c r="I263" t="s">
        <v>2584</v>
      </c>
      <c r="J263" t="s">
        <v>2975</v>
      </c>
      <c r="M263" t="s">
        <v>161</v>
      </c>
      <c r="N263" s="54">
        <v>45127.489247685182</v>
      </c>
      <c r="O263" s="54"/>
      <c r="P263" s="54"/>
      <c r="Q263" t="s">
        <v>2613</v>
      </c>
      <c r="R263" t="s">
        <v>161</v>
      </c>
    </row>
    <row r="264" spans="1:18" x14ac:dyDescent="0.3">
      <c r="A264" t="s">
        <v>884</v>
      </c>
      <c r="B264" t="s">
        <v>2977</v>
      </c>
      <c r="C264" t="s">
        <v>2578</v>
      </c>
      <c r="D264" t="s">
        <v>2610</v>
      </c>
      <c r="E264" t="s">
        <v>2978</v>
      </c>
      <c r="F264" t="s">
        <v>2581</v>
      </c>
      <c r="G264" t="s">
        <v>161</v>
      </c>
      <c r="H264" t="s">
        <v>2703</v>
      </c>
      <c r="I264" t="s">
        <v>2709</v>
      </c>
      <c r="J264" t="s">
        <v>2710</v>
      </c>
      <c r="M264" t="s">
        <v>161</v>
      </c>
      <c r="N264" s="54">
        <v>45010.756747685184</v>
      </c>
      <c r="O264" s="54"/>
      <c r="P264" s="54"/>
      <c r="Q264" t="s">
        <v>2613</v>
      </c>
      <c r="R264" t="s">
        <v>161</v>
      </c>
    </row>
    <row r="265" spans="1:18" x14ac:dyDescent="0.3">
      <c r="A265" t="s">
        <v>884</v>
      </c>
      <c r="B265" t="s">
        <v>2977</v>
      </c>
      <c r="C265" t="s">
        <v>2578</v>
      </c>
      <c r="D265" t="s">
        <v>2610</v>
      </c>
      <c r="E265" t="s">
        <v>2979</v>
      </c>
      <c r="F265" t="s">
        <v>2581</v>
      </c>
      <c r="G265" t="s">
        <v>161</v>
      </c>
      <c r="H265" t="s">
        <v>2703</v>
      </c>
      <c r="I265" t="s">
        <v>2709</v>
      </c>
      <c r="J265" t="s">
        <v>2710</v>
      </c>
      <c r="M265" t="s">
        <v>161</v>
      </c>
      <c r="N265" s="54">
        <v>45287.658356481479</v>
      </c>
      <c r="O265" s="54"/>
      <c r="P265" s="54"/>
      <c r="Q265" t="s">
        <v>2613</v>
      </c>
      <c r="R265" t="s">
        <v>161</v>
      </c>
    </row>
    <row r="266" spans="1:18" x14ac:dyDescent="0.3">
      <c r="A266" t="s">
        <v>884</v>
      </c>
      <c r="B266" t="s">
        <v>2980</v>
      </c>
      <c r="C266" t="s">
        <v>2578</v>
      </c>
      <c r="D266" t="s">
        <v>2610</v>
      </c>
      <c r="E266" t="s">
        <v>2981</v>
      </c>
      <c r="F266" t="s">
        <v>2590</v>
      </c>
      <c r="G266" t="s">
        <v>161</v>
      </c>
      <c r="H266" t="s">
        <v>2694</v>
      </c>
      <c r="I266" t="s">
        <v>2695</v>
      </c>
      <c r="J266" t="s">
        <v>2696</v>
      </c>
      <c r="M266" t="s">
        <v>161</v>
      </c>
      <c r="N266" s="54">
        <v>45010.693715277775</v>
      </c>
      <c r="O266" s="54"/>
      <c r="P266" s="54"/>
      <c r="Q266" t="s">
        <v>2613</v>
      </c>
      <c r="R266" t="s">
        <v>161</v>
      </c>
    </row>
    <row r="267" spans="1:18" x14ac:dyDescent="0.3">
      <c r="A267" t="s">
        <v>884</v>
      </c>
      <c r="B267" t="s">
        <v>2980</v>
      </c>
      <c r="C267" t="s">
        <v>2578</v>
      </c>
      <c r="D267" t="s">
        <v>2610</v>
      </c>
      <c r="E267" t="s">
        <v>2982</v>
      </c>
      <c r="F267" t="s">
        <v>2590</v>
      </c>
      <c r="G267" t="s">
        <v>161</v>
      </c>
      <c r="H267" t="s">
        <v>2694</v>
      </c>
      <c r="I267" t="s">
        <v>2695</v>
      </c>
      <c r="J267" t="s">
        <v>2696</v>
      </c>
      <c r="M267" t="s">
        <v>161</v>
      </c>
      <c r="N267" s="54">
        <v>45010.693935185183</v>
      </c>
      <c r="O267" s="54"/>
      <c r="P267" s="54"/>
      <c r="Q267" t="s">
        <v>2613</v>
      </c>
      <c r="R267" t="s">
        <v>161</v>
      </c>
    </row>
    <row r="268" spans="1:18" x14ac:dyDescent="0.3">
      <c r="A268" t="s">
        <v>884</v>
      </c>
      <c r="B268" t="s">
        <v>2983</v>
      </c>
      <c r="C268" t="s">
        <v>2578</v>
      </c>
      <c r="D268" t="s">
        <v>2610</v>
      </c>
      <c r="E268" t="s">
        <v>2984</v>
      </c>
      <c r="F268" t="s">
        <v>2735</v>
      </c>
      <c r="G268" t="s">
        <v>161</v>
      </c>
      <c r="H268" t="s">
        <v>2583</v>
      </c>
      <c r="I268" t="s">
        <v>2584</v>
      </c>
      <c r="J268" t="s">
        <v>2985</v>
      </c>
      <c r="M268" t="s">
        <v>161</v>
      </c>
      <c r="N268" s="54">
        <v>45015</v>
      </c>
      <c r="O268" s="54"/>
      <c r="P268" s="54"/>
      <c r="Q268" t="s">
        <v>2613</v>
      </c>
      <c r="R268" t="s">
        <v>161</v>
      </c>
    </row>
    <row r="269" spans="1:18" x14ac:dyDescent="0.3">
      <c r="A269" t="s">
        <v>884</v>
      </c>
      <c r="B269" t="s">
        <v>2983</v>
      </c>
      <c r="C269" t="s">
        <v>2578</v>
      </c>
      <c r="D269" t="s">
        <v>2610</v>
      </c>
      <c r="E269" t="s">
        <v>2986</v>
      </c>
      <c r="F269" t="s">
        <v>2735</v>
      </c>
      <c r="G269" t="s">
        <v>161</v>
      </c>
      <c r="H269" t="s">
        <v>2583</v>
      </c>
      <c r="I269" t="s">
        <v>2584</v>
      </c>
      <c r="J269" t="s">
        <v>2985</v>
      </c>
      <c r="M269" t="s">
        <v>161</v>
      </c>
      <c r="N269" s="54">
        <v>45015</v>
      </c>
      <c r="O269" s="54"/>
      <c r="P269" s="54"/>
      <c r="Q269" t="s">
        <v>2613</v>
      </c>
      <c r="R269" t="s">
        <v>161</v>
      </c>
    </row>
    <row r="270" spans="1:18" x14ac:dyDescent="0.3">
      <c r="A270" t="s">
        <v>884</v>
      </c>
      <c r="B270" t="s">
        <v>2987</v>
      </c>
      <c r="C270" t="s">
        <v>2578</v>
      </c>
      <c r="D270" t="s">
        <v>2610</v>
      </c>
      <c r="E270" t="s">
        <v>2988</v>
      </c>
      <c r="F270" t="s">
        <v>2598</v>
      </c>
      <c r="G270" t="s">
        <v>161</v>
      </c>
      <c r="H270" t="s">
        <v>2603</v>
      </c>
      <c r="I270" t="s">
        <v>2603</v>
      </c>
      <c r="J270" t="s">
        <v>2604</v>
      </c>
      <c r="M270" t="s">
        <v>161</v>
      </c>
      <c r="N270" s="54">
        <v>45010.825729166667</v>
      </c>
      <c r="O270" s="54"/>
      <c r="P270" s="54"/>
      <c r="Q270" t="s">
        <v>2613</v>
      </c>
      <c r="R270" t="s">
        <v>161</v>
      </c>
    </row>
    <row r="271" spans="1:18" x14ac:dyDescent="0.3">
      <c r="A271" t="s">
        <v>884</v>
      </c>
      <c r="B271" t="s">
        <v>2987</v>
      </c>
      <c r="C271" t="s">
        <v>2578</v>
      </c>
      <c r="D271" t="s">
        <v>2610</v>
      </c>
      <c r="E271" t="s">
        <v>2989</v>
      </c>
      <c r="F271" t="s">
        <v>2598</v>
      </c>
      <c r="G271" t="s">
        <v>161</v>
      </c>
      <c r="H271" t="s">
        <v>2603</v>
      </c>
      <c r="I271" t="s">
        <v>2603</v>
      </c>
      <c r="J271" t="s">
        <v>2604</v>
      </c>
      <c r="M271" t="s">
        <v>161</v>
      </c>
      <c r="N271" s="54">
        <v>45010.825856481482</v>
      </c>
      <c r="O271" s="54"/>
      <c r="P271" s="54"/>
      <c r="Q271" t="s">
        <v>2613</v>
      </c>
      <c r="R271" t="s">
        <v>161</v>
      </c>
    </row>
    <row r="272" spans="1:18" x14ac:dyDescent="0.3">
      <c r="A272" t="s">
        <v>884</v>
      </c>
      <c r="B272" t="s">
        <v>2990</v>
      </c>
      <c r="C272" t="s">
        <v>2578</v>
      </c>
      <c r="D272" t="s">
        <v>2610</v>
      </c>
      <c r="E272" t="s">
        <v>2991</v>
      </c>
      <c r="F272" t="s">
        <v>2735</v>
      </c>
      <c r="G272" t="s">
        <v>161</v>
      </c>
      <c r="H272" t="s">
        <v>2591</v>
      </c>
      <c r="I272" t="s">
        <v>2592</v>
      </c>
      <c r="J272" t="s">
        <v>2593</v>
      </c>
      <c r="M272" t="s">
        <v>161</v>
      </c>
      <c r="N272" s="54">
        <v>45010.725578703707</v>
      </c>
      <c r="O272" s="54"/>
      <c r="P272" s="54"/>
      <c r="Q272" t="s">
        <v>2613</v>
      </c>
      <c r="R272" t="s">
        <v>161</v>
      </c>
    </row>
    <row r="273" spans="1:18" x14ac:dyDescent="0.3">
      <c r="A273" t="s">
        <v>884</v>
      </c>
      <c r="B273" t="s">
        <v>2990</v>
      </c>
      <c r="C273" t="s">
        <v>2578</v>
      </c>
      <c r="D273" t="s">
        <v>2610</v>
      </c>
      <c r="E273" t="s">
        <v>2992</v>
      </c>
      <c r="F273" t="s">
        <v>2735</v>
      </c>
      <c r="G273" t="s">
        <v>161</v>
      </c>
      <c r="H273" t="s">
        <v>2591</v>
      </c>
      <c r="I273" t="s">
        <v>2592</v>
      </c>
      <c r="J273" t="s">
        <v>2593</v>
      </c>
      <c r="M273" t="s">
        <v>161</v>
      </c>
      <c r="N273" s="54">
        <v>45867.646134259259</v>
      </c>
      <c r="O273" s="54"/>
      <c r="P273" s="54"/>
      <c r="Q273" t="s">
        <v>2613</v>
      </c>
      <c r="R273" t="s">
        <v>161</v>
      </c>
    </row>
    <row r="274" spans="1:18" x14ac:dyDescent="0.3">
      <c r="A274" t="s">
        <v>884</v>
      </c>
      <c r="B274" t="s">
        <v>2993</v>
      </c>
      <c r="C274" t="s">
        <v>2578</v>
      </c>
      <c r="D274" t="s">
        <v>2610</v>
      </c>
      <c r="E274" t="s">
        <v>2994</v>
      </c>
      <c r="F274" t="s">
        <v>2590</v>
      </c>
      <c r="G274" t="s">
        <v>161</v>
      </c>
      <c r="H274" t="s">
        <v>2694</v>
      </c>
      <c r="I274" t="s">
        <v>2695</v>
      </c>
      <c r="J274" t="s">
        <v>2696</v>
      </c>
      <c r="M274" t="s">
        <v>161</v>
      </c>
      <c r="N274" s="54">
        <v>45010.692939814813</v>
      </c>
      <c r="O274" s="54"/>
      <c r="P274" s="54"/>
      <c r="Q274" t="s">
        <v>2613</v>
      </c>
      <c r="R274" t="s">
        <v>161</v>
      </c>
    </row>
    <row r="275" spans="1:18" x14ac:dyDescent="0.3">
      <c r="A275" t="s">
        <v>884</v>
      </c>
      <c r="B275" t="s">
        <v>2993</v>
      </c>
      <c r="C275" t="s">
        <v>2578</v>
      </c>
      <c r="D275" t="s">
        <v>2610</v>
      </c>
      <c r="E275" t="s">
        <v>2995</v>
      </c>
      <c r="F275" t="s">
        <v>2590</v>
      </c>
      <c r="G275" t="s">
        <v>161</v>
      </c>
      <c r="H275" t="s">
        <v>2694</v>
      </c>
      <c r="I275" t="s">
        <v>2695</v>
      </c>
      <c r="J275" t="s">
        <v>2696</v>
      </c>
      <c r="M275" t="s">
        <v>161</v>
      </c>
      <c r="N275" s="54">
        <v>45356.304120370369</v>
      </c>
      <c r="O275" s="54"/>
      <c r="P275" s="54"/>
      <c r="Q275" t="s">
        <v>2613</v>
      </c>
      <c r="R275" t="s">
        <v>161</v>
      </c>
    </row>
    <row r="276" spans="1:18" x14ac:dyDescent="0.3">
      <c r="A276" t="s">
        <v>884</v>
      </c>
      <c r="B276" t="s">
        <v>2993</v>
      </c>
      <c r="C276" t="s">
        <v>2578</v>
      </c>
      <c r="D276" t="s">
        <v>2610</v>
      </c>
      <c r="E276" t="s">
        <v>2996</v>
      </c>
      <c r="F276" t="s">
        <v>2590</v>
      </c>
      <c r="G276" t="s">
        <v>161</v>
      </c>
      <c r="H276" t="s">
        <v>2694</v>
      </c>
      <c r="I276" t="s">
        <v>2695</v>
      </c>
      <c r="J276" t="s">
        <v>2696</v>
      </c>
      <c r="M276" t="s">
        <v>161</v>
      </c>
      <c r="N276" s="54">
        <v>45324.620972222219</v>
      </c>
      <c r="O276" s="54"/>
      <c r="P276" s="54"/>
      <c r="Q276" t="s">
        <v>2613</v>
      </c>
      <c r="R276" t="s">
        <v>161</v>
      </c>
    </row>
    <row r="277" spans="1:18" x14ac:dyDescent="0.3">
      <c r="A277" t="s">
        <v>884</v>
      </c>
      <c r="B277" t="s">
        <v>2993</v>
      </c>
      <c r="C277" t="s">
        <v>2578</v>
      </c>
      <c r="D277" t="s">
        <v>2610</v>
      </c>
      <c r="E277" t="s">
        <v>2997</v>
      </c>
      <c r="F277" t="s">
        <v>2590</v>
      </c>
      <c r="G277" t="s">
        <v>161</v>
      </c>
      <c r="H277" t="s">
        <v>2694</v>
      </c>
      <c r="I277" t="s">
        <v>2695</v>
      </c>
      <c r="J277" t="s">
        <v>2696</v>
      </c>
      <c r="M277" t="s">
        <v>161</v>
      </c>
      <c r="N277" s="54">
        <v>45010.675474537034</v>
      </c>
      <c r="O277" s="54"/>
      <c r="P277" s="54"/>
      <c r="Q277" t="s">
        <v>2613</v>
      </c>
      <c r="R277" t="s">
        <v>161</v>
      </c>
    </row>
    <row r="278" spans="1:18" x14ac:dyDescent="0.3">
      <c r="A278" t="s">
        <v>884</v>
      </c>
      <c r="B278" t="s">
        <v>2993</v>
      </c>
      <c r="C278" t="s">
        <v>2578</v>
      </c>
      <c r="D278" t="s">
        <v>2610</v>
      </c>
      <c r="E278" t="s">
        <v>2998</v>
      </c>
      <c r="F278" t="s">
        <v>2590</v>
      </c>
      <c r="G278" t="s">
        <v>161</v>
      </c>
      <c r="H278" t="s">
        <v>2694</v>
      </c>
      <c r="I278" t="s">
        <v>2695</v>
      </c>
      <c r="J278" t="s">
        <v>2696</v>
      </c>
      <c r="M278" t="s">
        <v>161</v>
      </c>
      <c r="N278" s="54">
        <v>45010.676076388889</v>
      </c>
      <c r="O278" s="54"/>
      <c r="P278" s="54"/>
      <c r="Q278" t="s">
        <v>2613</v>
      </c>
      <c r="R278" t="s">
        <v>161</v>
      </c>
    </row>
    <row r="279" spans="1:18" x14ac:dyDescent="0.3">
      <c r="A279" t="s">
        <v>884</v>
      </c>
      <c r="B279" t="s">
        <v>2993</v>
      </c>
      <c r="C279" t="s">
        <v>2578</v>
      </c>
      <c r="D279" t="s">
        <v>2610</v>
      </c>
      <c r="E279" t="s">
        <v>2999</v>
      </c>
      <c r="F279" t="s">
        <v>2590</v>
      </c>
      <c r="G279" t="s">
        <v>161</v>
      </c>
      <c r="H279" t="s">
        <v>2694</v>
      </c>
      <c r="I279" t="s">
        <v>2695</v>
      </c>
      <c r="J279" t="s">
        <v>2696</v>
      </c>
      <c r="M279" t="s">
        <v>161</v>
      </c>
      <c r="N279" s="54">
        <v>45010.67628472222</v>
      </c>
      <c r="O279" s="54"/>
      <c r="P279" s="54"/>
      <c r="Q279" t="s">
        <v>2613</v>
      </c>
      <c r="R279" t="s">
        <v>161</v>
      </c>
    </row>
    <row r="280" spans="1:18" x14ac:dyDescent="0.3">
      <c r="A280" t="s">
        <v>884</v>
      </c>
      <c r="B280" t="s">
        <v>3000</v>
      </c>
      <c r="C280" t="s">
        <v>2578</v>
      </c>
      <c r="D280" t="s">
        <v>2610</v>
      </c>
      <c r="E280" t="s">
        <v>3001</v>
      </c>
      <c r="F280" t="s">
        <v>2590</v>
      </c>
      <c r="G280" t="s">
        <v>161</v>
      </c>
      <c r="H280" t="s">
        <v>2591</v>
      </c>
      <c r="I280" t="s">
        <v>2592</v>
      </c>
      <c r="J280" t="s">
        <v>2593</v>
      </c>
      <c r="M280" t="s">
        <v>161</v>
      </c>
      <c r="N280" s="54">
        <v>45010.721817129626</v>
      </c>
      <c r="O280" s="54"/>
      <c r="P280" s="54"/>
      <c r="Q280" t="s">
        <v>2613</v>
      </c>
      <c r="R280" t="s">
        <v>161</v>
      </c>
    </row>
    <row r="281" spans="1:18" x14ac:dyDescent="0.3">
      <c r="A281" t="s">
        <v>884</v>
      </c>
      <c r="B281" t="s">
        <v>3000</v>
      </c>
      <c r="C281" t="s">
        <v>2578</v>
      </c>
      <c r="D281" t="s">
        <v>2610</v>
      </c>
      <c r="E281" t="s">
        <v>3002</v>
      </c>
      <c r="F281" t="s">
        <v>2590</v>
      </c>
      <c r="G281" t="s">
        <v>161</v>
      </c>
      <c r="H281" t="s">
        <v>2591</v>
      </c>
      <c r="I281" t="s">
        <v>2592</v>
      </c>
      <c r="J281" t="s">
        <v>2593</v>
      </c>
      <c r="M281" t="s">
        <v>161</v>
      </c>
      <c r="N281" s="54">
        <v>45010.721967592595</v>
      </c>
      <c r="O281" s="54"/>
      <c r="P281" s="54"/>
      <c r="Q281" t="s">
        <v>2613</v>
      </c>
      <c r="R281" t="s">
        <v>161</v>
      </c>
    </row>
    <row r="282" spans="1:18" x14ac:dyDescent="0.3">
      <c r="A282" t="s">
        <v>884</v>
      </c>
      <c r="B282" t="s">
        <v>3003</v>
      </c>
      <c r="C282" t="s">
        <v>2578</v>
      </c>
      <c r="D282" t="s">
        <v>2610</v>
      </c>
      <c r="E282" t="s">
        <v>3004</v>
      </c>
      <c r="F282" t="s">
        <v>2590</v>
      </c>
      <c r="G282" t="s">
        <v>161</v>
      </c>
      <c r="H282" t="s">
        <v>2694</v>
      </c>
      <c r="I282" t="s">
        <v>2695</v>
      </c>
      <c r="J282" t="s">
        <v>2696</v>
      </c>
      <c r="M282" t="s">
        <v>161</v>
      </c>
      <c r="N282" s="54">
        <v>45142.420682870368</v>
      </c>
      <c r="O282" s="54"/>
      <c r="P282" s="54"/>
      <c r="Q282" t="s">
        <v>2613</v>
      </c>
      <c r="R282" t="s">
        <v>161</v>
      </c>
    </row>
    <row r="283" spans="1:18" x14ac:dyDescent="0.3">
      <c r="A283" t="s">
        <v>884</v>
      </c>
      <c r="B283" t="s">
        <v>3003</v>
      </c>
      <c r="C283" t="s">
        <v>2578</v>
      </c>
      <c r="D283" t="s">
        <v>2610</v>
      </c>
      <c r="E283" t="s">
        <v>3005</v>
      </c>
      <c r="F283" t="s">
        <v>2590</v>
      </c>
      <c r="G283" t="s">
        <v>161</v>
      </c>
      <c r="H283" t="s">
        <v>2694</v>
      </c>
      <c r="I283" t="s">
        <v>2695</v>
      </c>
      <c r="J283" t="s">
        <v>2696</v>
      </c>
      <c r="M283" t="s">
        <v>161</v>
      </c>
      <c r="N283" s="54">
        <v>45870.681759259256</v>
      </c>
      <c r="O283" s="54"/>
      <c r="P283" s="54"/>
      <c r="Q283" t="s">
        <v>2613</v>
      </c>
      <c r="R283" t="s">
        <v>161</v>
      </c>
    </row>
    <row r="284" spans="1:18" x14ac:dyDescent="0.3">
      <c r="A284" t="s">
        <v>884</v>
      </c>
      <c r="B284" t="s">
        <v>3006</v>
      </c>
      <c r="C284" t="s">
        <v>2578</v>
      </c>
      <c r="D284" t="s">
        <v>2610</v>
      </c>
      <c r="E284" t="s">
        <v>3007</v>
      </c>
      <c r="F284" t="s">
        <v>2590</v>
      </c>
      <c r="G284" t="s">
        <v>161</v>
      </c>
      <c r="H284" t="s">
        <v>2703</v>
      </c>
      <c r="I284" t="s">
        <v>2704</v>
      </c>
      <c r="J284" t="s">
        <v>2705</v>
      </c>
      <c r="M284" t="s">
        <v>161</v>
      </c>
      <c r="N284" s="54">
        <v>45764.382824074077</v>
      </c>
      <c r="O284" s="54"/>
      <c r="P284" s="54"/>
      <c r="Q284" t="s">
        <v>2613</v>
      </c>
      <c r="R284" t="s">
        <v>161</v>
      </c>
    </row>
    <row r="285" spans="1:18" x14ac:dyDescent="0.3">
      <c r="A285" t="s">
        <v>884</v>
      </c>
      <c r="B285" t="s">
        <v>3006</v>
      </c>
      <c r="C285" t="s">
        <v>2578</v>
      </c>
      <c r="D285" t="s">
        <v>2610</v>
      </c>
      <c r="E285" t="s">
        <v>3008</v>
      </c>
      <c r="F285" t="s">
        <v>2590</v>
      </c>
      <c r="G285" t="s">
        <v>161</v>
      </c>
      <c r="H285" t="s">
        <v>2703</v>
      </c>
      <c r="I285" t="s">
        <v>2704</v>
      </c>
      <c r="J285" t="s">
        <v>2705</v>
      </c>
      <c r="M285" t="s">
        <v>161</v>
      </c>
      <c r="N285" s="54">
        <v>45015.700740740744</v>
      </c>
      <c r="O285" s="54"/>
      <c r="P285" s="54"/>
      <c r="Q285" t="s">
        <v>2613</v>
      </c>
      <c r="R285" t="s">
        <v>161</v>
      </c>
    </row>
    <row r="286" spans="1:18" x14ac:dyDescent="0.3">
      <c r="A286" t="s">
        <v>884</v>
      </c>
      <c r="B286" t="s">
        <v>3009</v>
      </c>
      <c r="C286" t="s">
        <v>2578</v>
      </c>
      <c r="D286" t="s">
        <v>2610</v>
      </c>
      <c r="E286" t="s">
        <v>3010</v>
      </c>
      <c r="F286" t="s">
        <v>2590</v>
      </c>
      <c r="G286" t="s">
        <v>161</v>
      </c>
      <c r="H286" t="s">
        <v>2694</v>
      </c>
      <c r="I286" t="s">
        <v>2695</v>
      </c>
      <c r="J286" t="s">
        <v>2696</v>
      </c>
      <c r="M286" t="s">
        <v>161</v>
      </c>
      <c r="N286" s="54">
        <v>45010.674756944441</v>
      </c>
      <c r="O286" s="54"/>
      <c r="P286" s="54"/>
      <c r="Q286" t="s">
        <v>2613</v>
      </c>
      <c r="R286" t="s">
        <v>161</v>
      </c>
    </row>
    <row r="287" spans="1:18" x14ac:dyDescent="0.3">
      <c r="A287" t="s">
        <v>884</v>
      </c>
      <c r="B287" t="s">
        <v>3009</v>
      </c>
      <c r="C287" t="s">
        <v>2578</v>
      </c>
      <c r="D287" t="s">
        <v>2610</v>
      </c>
      <c r="E287" t="s">
        <v>3011</v>
      </c>
      <c r="F287" t="s">
        <v>2590</v>
      </c>
      <c r="G287" t="s">
        <v>161</v>
      </c>
      <c r="H287" t="s">
        <v>2694</v>
      </c>
      <c r="I287" t="s">
        <v>2695</v>
      </c>
      <c r="J287" t="s">
        <v>2696</v>
      </c>
      <c r="M287" t="s">
        <v>161</v>
      </c>
      <c r="N287" s="54">
        <v>45010.674895833334</v>
      </c>
      <c r="O287" s="54"/>
      <c r="P287" s="54"/>
      <c r="Q287" t="s">
        <v>2613</v>
      </c>
      <c r="R287" t="s">
        <v>161</v>
      </c>
    </row>
    <row r="288" spans="1:18" x14ac:dyDescent="0.3">
      <c r="A288" t="s">
        <v>884</v>
      </c>
      <c r="B288" t="s">
        <v>3012</v>
      </c>
      <c r="C288" t="s">
        <v>2578</v>
      </c>
      <c r="D288" t="s">
        <v>2610</v>
      </c>
      <c r="E288" t="s">
        <v>3013</v>
      </c>
      <c r="F288" t="s">
        <v>2590</v>
      </c>
      <c r="G288" t="s">
        <v>161</v>
      </c>
      <c r="H288" t="s">
        <v>2703</v>
      </c>
      <c r="I288" t="s">
        <v>2704</v>
      </c>
      <c r="J288" t="s">
        <v>2705</v>
      </c>
      <c r="M288" t="s">
        <v>161</v>
      </c>
      <c r="N288" s="54">
        <v>45015</v>
      </c>
      <c r="O288" s="54"/>
      <c r="P288" s="54"/>
      <c r="Q288" t="s">
        <v>2613</v>
      </c>
      <c r="R288" t="s">
        <v>161</v>
      </c>
    </row>
    <row r="289" spans="1:18" x14ac:dyDescent="0.3">
      <c r="A289" t="s">
        <v>884</v>
      </c>
      <c r="B289" t="s">
        <v>3012</v>
      </c>
      <c r="C289" t="s">
        <v>2578</v>
      </c>
      <c r="D289" t="s">
        <v>2610</v>
      </c>
      <c r="E289" t="s">
        <v>3014</v>
      </c>
      <c r="F289" t="s">
        <v>2590</v>
      </c>
      <c r="G289" t="s">
        <v>161</v>
      </c>
      <c r="H289" t="s">
        <v>2703</v>
      </c>
      <c r="I289" t="s">
        <v>2704</v>
      </c>
      <c r="J289" t="s">
        <v>2705</v>
      </c>
      <c r="M289" t="s">
        <v>161</v>
      </c>
      <c r="N289" s="54">
        <v>45015</v>
      </c>
      <c r="O289" s="54"/>
      <c r="P289" s="54"/>
      <c r="Q289" t="s">
        <v>2613</v>
      </c>
      <c r="R289" t="s">
        <v>161</v>
      </c>
    </row>
    <row r="290" spans="1:18" x14ac:dyDescent="0.3">
      <c r="A290" t="s">
        <v>884</v>
      </c>
      <c r="B290" t="s">
        <v>3012</v>
      </c>
      <c r="C290" t="s">
        <v>2578</v>
      </c>
      <c r="D290" t="s">
        <v>2610</v>
      </c>
      <c r="E290" t="s">
        <v>3015</v>
      </c>
      <c r="F290" t="s">
        <v>2735</v>
      </c>
      <c r="G290" t="s">
        <v>161</v>
      </c>
      <c r="H290" t="s">
        <v>2703</v>
      </c>
      <c r="I290" t="s">
        <v>2731</v>
      </c>
      <c r="J290" t="s">
        <v>2732</v>
      </c>
      <c r="M290" t="s">
        <v>161</v>
      </c>
      <c r="N290" s="54">
        <v>45761.503668981481</v>
      </c>
      <c r="O290" s="54"/>
      <c r="P290" s="54"/>
      <c r="Q290" t="s">
        <v>2613</v>
      </c>
      <c r="R290" t="s">
        <v>161</v>
      </c>
    </row>
    <row r="291" spans="1:18" x14ac:dyDescent="0.3">
      <c r="A291" t="s">
        <v>884</v>
      </c>
      <c r="B291" t="s">
        <v>3012</v>
      </c>
      <c r="C291" t="s">
        <v>2578</v>
      </c>
      <c r="D291" t="s">
        <v>2610</v>
      </c>
      <c r="E291" t="s">
        <v>3016</v>
      </c>
      <c r="F291" t="s">
        <v>2735</v>
      </c>
      <c r="G291" t="s">
        <v>161</v>
      </c>
      <c r="H291" t="s">
        <v>2703</v>
      </c>
      <c r="I291" t="s">
        <v>2731</v>
      </c>
      <c r="J291" t="s">
        <v>2732</v>
      </c>
      <c r="M291" t="s">
        <v>161</v>
      </c>
      <c r="N291" s="54">
        <v>45015</v>
      </c>
      <c r="O291" s="54"/>
      <c r="P291" s="54"/>
      <c r="Q291" t="s">
        <v>2613</v>
      </c>
      <c r="R291" t="s">
        <v>161</v>
      </c>
    </row>
    <row r="292" spans="1:18" x14ac:dyDescent="0.3">
      <c r="A292" t="s">
        <v>884</v>
      </c>
      <c r="B292" t="s">
        <v>3017</v>
      </c>
      <c r="C292" t="s">
        <v>2578</v>
      </c>
      <c r="D292" t="s">
        <v>2610</v>
      </c>
      <c r="E292" t="s">
        <v>3018</v>
      </c>
      <c r="F292" t="s">
        <v>2590</v>
      </c>
      <c r="G292" t="s">
        <v>161</v>
      </c>
      <c r="H292" t="s">
        <v>2603</v>
      </c>
      <c r="I292" t="s">
        <v>2603</v>
      </c>
      <c r="J292" t="s">
        <v>2741</v>
      </c>
      <c r="M292" t="s">
        <v>161</v>
      </c>
      <c r="N292" s="54">
        <v>45010.817499999997</v>
      </c>
      <c r="O292" s="54"/>
      <c r="P292" s="54"/>
      <c r="Q292" t="s">
        <v>2613</v>
      </c>
      <c r="R292" t="s">
        <v>161</v>
      </c>
    </row>
    <row r="293" spans="1:18" x14ac:dyDescent="0.3">
      <c r="A293" t="s">
        <v>884</v>
      </c>
      <c r="B293" t="s">
        <v>3017</v>
      </c>
      <c r="C293" t="s">
        <v>2578</v>
      </c>
      <c r="D293" t="s">
        <v>2610</v>
      </c>
      <c r="E293" t="s">
        <v>3019</v>
      </c>
      <c r="F293" t="s">
        <v>2590</v>
      </c>
      <c r="G293" t="s">
        <v>161</v>
      </c>
      <c r="H293" t="s">
        <v>2603</v>
      </c>
      <c r="I293" t="s">
        <v>2603</v>
      </c>
      <c r="J293" t="s">
        <v>2741</v>
      </c>
      <c r="M293" t="s">
        <v>161</v>
      </c>
      <c r="N293" s="54">
        <v>45010.817650462966</v>
      </c>
      <c r="O293" s="54"/>
      <c r="P293" s="54"/>
      <c r="Q293" t="s">
        <v>2613</v>
      </c>
      <c r="R293" t="s">
        <v>161</v>
      </c>
    </row>
    <row r="294" spans="1:18" x14ac:dyDescent="0.3">
      <c r="A294" t="s">
        <v>884</v>
      </c>
      <c r="B294" t="s">
        <v>3020</v>
      </c>
      <c r="C294" t="s">
        <v>2578</v>
      </c>
      <c r="D294" t="s">
        <v>2610</v>
      </c>
      <c r="E294" t="s">
        <v>3021</v>
      </c>
      <c r="F294" t="s">
        <v>2598</v>
      </c>
      <c r="G294" t="s">
        <v>161</v>
      </c>
      <c r="H294" t="s">
        <v>2603</v>
      </c>
      <c r="I294" t="s">
        <v>2603</v>
      </c>
      <c r="J294" t="s">
        <v>2604</v>
      </c>
      <c r="M294" t="s">
        <v>161</v>
      </c>
      <c r="N294" s="54">
        <v>45015</v>
      </c>
      <c r="O294" s="54"/>
      <c r="P294" s="54"/>
      <c r="Q294" t="s">
        <v>2613</v>
      </c>
      <c r="R294" t="s">
        <v>161</v>
      </c>
    </row>
    <row r="295" spans="1:18" x14ac:dyDescent="0.3">
      <c r="A295" t="s">
        <v>884</v>
      </c>
      <c r="B295" t="s">
        <v>3020</v>
      </c>
      <c r="C295" t="s">
        <v>2578</v>
      </c>
      <c r="D295" t="s">
        <v>2610</v>
      </c>
      <c r="E295" t="s">
        <v>3022</v>
      </c>
      <c r="F295" t="s">
        <v>2598</v>
      </c>
      <c r="G295" t="s">
        <v>161</v>
      </c>
      <c r="H295" t="s">
        <v>2603</v>
      </c>
      <c r="I295" t="s">
        <v>2603</v>
      </c>
      <c r="J295" t="s">
        <v>2604</v>
      </c>
      <c r="M295" t="s">
        <v>161</v>
      </c>
      <c r="N295" s="54">
        <v>45015</v>
      </c>
      <c r="O295" s="54"/>
      <c r="P295" s="54"/>
      <c r="Q295" t="s">
        <v>2613</v>
      </c>
      <c r="R295" t="s">
        <v>161</v>
      </c>
    </row>
    <row r="296" spans="1:18" x14ac:dyDescent="0.3">
      <c r="A296" t="s">
        <v>884</v>
      </c>
      <c r="B296" t="s">
        <v>3020</v>
      </c>
      <c r="C296" t="s">
        <v>2578</v>
      </c>
      <c r="D296" t="s">
        <v>2610</v>
      </c>
      <c r="E296" t="s">
        <v>3023</v>
      </c>
      <c r="F296" t="s">
        <v>2598</v>
      </c>
      <c r="G296" t="s">
        <v>161</v>
      </c>
      <c r="H296" t="s">
        <v>2603</v>
      </c>
      <c r="I296" t="s">
        <v>2603</v>
      </c>
      <c r="J296" t="s">
        <v>2604</v>
      </c>
      <c r="M296" t="s">
        <v>161</v>
      </c>
      <c r="N296" s="54">
        <v>45015</v>
      </c>
      <c r="O296" s="54"/>
      <c r="P296" s="54"/>
      <c r="Q296" t="s">
        <v>2613</v>
      </c>
      <c r="R296" t="s">
        <v>161</v>
      </c>
    </row>
    <row r="297" spans="1:18" x14ac:dyDescent="0.3">
      <c r="A297" t="s">
        <v>884</v>
      </c>
      <c r="B297" t="s">
        <v>3020</v>
      </c>
      <c r="C297" t="s">
        <v>2578</v>
      </c>
      <c r="D297" t="s">
        <v>2610</v>
      </c>
      <c r="E297" t="s">
        <v>3024</v>
      </c>
      <c r="F297" t="s">
        <v>2598</v>
      </c>
      <c r="G297" t="s">
        <v>161</v>
      </c>
      <c r="H297" t="s">
        <v>2603</v>
      </c>
      <c r="I297" t="s">
        <v>2603</v>
      </c>
      <c r="J297" t="s">
        <v>2604</v>
      </c>
      <c r="M297" t="s">
        <v>161</v>
      </c>
      <c r="N297" s="54">
        <v>45015</v>
      </c>
      <c r="O297" s="54"/>
      <c r="P297" s="54"/>
      <c r="Q297" t="s">
        <v>2613</v>
      </c>
      <c r="R297" t="s">
        <v>161</v>
      </c>
    </row>
    <row r="298" spans="1:18" x14ac:dyDescent="0.3">
      <c r="A298" t="s">
        <v>884</v>
      </c>
      <c r="B298" t="s">
        <v>3025</v>
      </c>
      <c r="C298" t="s">
        <v>2578</v>
      </c>
      <c r="D298" t="s">
        <v>2610</v>
      </c>
      <c r="E298" t="s">
        <v>3026</v>
      </c>
      <c r="F298" t="s">
        <v>2590</v>
      </c>
      <c r="G298" t="s">
        <v>161</v>
      </c>
      <c r="H298" t="s">
        <v>2603</v>
      </c>
      <c r="I298" t="s">
        <v>2603</v>
      </c>
      <c r="J298" t="s">
        <v>2741</v>
      </c>
      <c r="M298" t="s">
        <v>161</v>
      </c>
      <c r="N298" s="54">
        <v>45010.817847222221</v>
      </c>
      <c r="O298" s="54"/>
      <c r="P298" s="54"/>
      <c r="Q298" t="s">
        <v>2613</v>
      </c>
      <c r="R298" t="s">
        <v>161</v>
      </c>
    </row>
    <row r="299" spans="1:18" x14ac:dyDescent="0.3">
      <c r="A299" t="s">
        <v>884</v>
      </c>
      <c r="B299" t="s">
        <v>3025</v>
      </c>
      <c r="C299" t="s">
        <v>2578</v>
      </c>
      <c r="D299" t="s">
        <v>2610</v>
      </c>
      <c r="E299" t="s">
        <v>3027</v>
      </c>
      <c r="F299" t="s">
        <v>2590</v>
      </c>
      <c r="G299" t="s">
        <v>161</v>
      </c>
      <c r="H299" t="s">
        <v>2603</v>
      </c>
      <c r="I299" t="s">
        <v>2603</v>
      </c>
      <c r="J299" t="s">
        <v>2741</v>
      </c>
      <c r="M299" t="s">
        <v>161</v>
      </c>
      <c r="N299" s="54">
        <v>45329.681145833332</v>
      </c>
      <c r="O299" s="54"/>
      <c r="P299" s="54"/>
      <c r="Q299" t="s">
        <v>2613</v>
      </c>
      <c r="R299" t="s">
        <v>161</v>
      </c>
    </row>
    <row r="300" spans="1:18" x14ac:dyDescent="0.3">
      <c r="A300" t="s">
        <v>884</v>
      </c>
      <c r="B300" t="s">
        <v>3025</v>
      </c>
      <c r="C300" t="s">
        <v>2578</v>
      </c>
      <c r="D300" t="s">
        <v>2610</v>
      </c>
      <c r="E300" t="s">
        <v>3028</v>
      </c>
      <c r="F300" t="s">
        <v>2590</v>
      </c>
      <c r="G300" t="s">
        <v>161</v>
      </c>
      <c r="H300" t="s">
        <v>2603</v>
      </c>
      <c r="I300" t="s">
        <v>2603</v>
      </c>
      <c r="J300" t="s">
        <v>2741</v>
      </c>
      <c r="M300" t="s">
        <v>161</v>
      </c>
      <c r="N300" s="54">
        <v>45010.818124999998</v>
      </c>
      <c r="O300" s="54"/>
      <c r="P300" s="54"/>
      <c r="Q300" t="s">
        <v>2613</v>
      </c>
      <c r="R300" t="s">
        <v>161</v>
      </c>
    </row>
    <row r="301" spans="1:18" x14ac:dyDescent="0.3">
      <c r="A301" t="s">
        <v>884</v>
      </c>
      <c r="B301" t="s">
        <v>3025</v>
      </c>
      <c r="C301" t="s">
        <v>2578</v>
      </c>
      <c r="D301" t="s">
        <v>2610</v>
      </c>
      <c r="E301" t="s">
        <v>3029</v>
      </c>
      <c r="F301" t="s">
        <v>2590</v>
      </c>
      <c r="G301" t="s">
        <v>161</v>
      </c>
      <c r="H301" t="s">
        <v>2603</v>
      </c>
      <c r="I301" t="s">
        <v>2603</v>
      </c>
      <c r="J301" t="s">
        <v>2741</v>
      </c>
      <c r="M301" t="s">
        <v>161</v>
      </c>
      <c r="N301" s="54">
        <v>45010.81821759259</v>
      </c>
      <c r="O301" s="54"/>
      <c r="P301" s="54"/>
      <c r="Q301" t="s">
        <v>2613</v>
      </c>
      <c r="R301" t="s">
        <v>161</v>
      </c>
    </row>
    <row r="302" spans="1:18" x14ac:dyDescent="0.3">
      <c r="A302" t="s">
        <v>884</v>
      </c>
      <c r="B302" t="s">
        <v>3030</v>
      </c>
      <c r="C302" t="s">
        <v>2578</v>
      </c>
      <c r="D302" t="s">
        <v>2610</v>
      </c>
      <c r="E302" t="s">
        <v>3031</v>
      </c>
      <c r="F302" t="s">
        <v>2581</v>
      </c>
      <c r="G302" t="s">
        <v>161</v>
      </c>
      <c r="H302" t="s">
        <v>2703</v>
      </c>
      <c r="I302" t="s">
        <v>2709</v>
      </c>
      <c r="J302" t="s">
        <v>2710</v>
      </c>
      <c r="M302" t="s">
        <v>161</v>
      </c>
      <c r="N302" s="54">
        <v>45520.422488425924</v>
      </c>
      <c r="O302" s="54"/>
      <c r="P302" s="54"/>
      <c r="Q302" t="s">
        <v>2613</v>
      </c>
      <c r="R302" t="s">
        <v>161</v>
      </c>
    </row>
    <row r="303" spans="1:18" x14ac:dyDescent="0.3">
      <c r="A303" t="s">
        <v>884</v>
      </c>
      <c r="B303" t="s">
        <v>3030</v>
      </c>
      <c r="C303" t="s">
        <v>2578</v>
      </c>
      <c r="D303" t="s">
        <v>2610</v>
      </c>
      <c r="E303" t="s">
        <v>3032</v>
      </c>
      <c r="F303" t="s">
        <v>2581</v>
      </c>
      <c r="G303" t="s">
        <v>161</v>
      </c>
      <c r="H303" t="s">
        <v>2703</v>
      </c>
      <c r="I303" t="s">
        <v>2709</v>
      </c>
      <c r="J303" t="s">
        <v>2710</v>
      </c>
      <c r="M303" t="s">
        <v>161</v>
      </c>
      <c r="N303" s="54">
        <v>45532.661030092589</v>
      </c>
      <c r="O303" s="54"/>
      <c r="P303" s="54"/>
      <c r="Q303" t="s">
        <v>2613</v>
      </c>
      <c r="R303" t="s">
        <v>161</v>
      </c>
    </row>
    <row r="304" spans="1:18" x14ac:dyDescent="0.3">
      <c r="A304" t="s">
        <v>884</v>
      </c>
      <c r="B304" t="s">
        <v>3033</v>
      </c>
      <c r="C304" t="s">
        <v>2578</v>
      </c>
      <c r="D304" t="s">
        <v>2610</v>
      </c>
      <c r="E304" t="s">
        <v>3034</v>
      </c>
      <c r="F304" t="s">
        <v>2735</v>
      </c>
      <c r="G304" t="s">
        <v>161</v>
      </c>
      <c r="H304" t="s">
        <v>2583</v>
      </c>
      <c r="I304" t="s">
        <v>2584</v>
      </c>
      <c r="J304" t="s">
        <v>2985</v>
      </c>
      <c r="M304" t="s">
        <v>161</v>
      </c>
      <c r="N304" s="54">
        <v>45015</v>
      </c>
      <c r="O304" s="54"/>
      <c r="P304" s="54"/>
      <c r="Q304" t="s">
        <v>2613</v>
      </c>
      <c r="R304" t="s">
        <v>161</v>
      </c>
    </row>
    <row r="305" spans="1:18" x14ac:dyDescent="0.3">
      <c r="A305" t="s">
        <v>884</v>
      </c>
      <c r="B305" t="s">
        <v>3035</v>
      </c>
      <c r="C305" t="s">
        <v>2578</v>
      </c>
      <c r="D305" t="s">
        <v>2610</v>
      </c>
      <c r="E305" t="s">
        <v>3036</v>
      </c>
      <c r="F305" t="s">
        <v>2735</v>
      </c>
      <c r="G305" t="s">
        <v>161</v>
      </c>
      <c r="H305" t="s">
        <v>2583</v>
      </c>
      <c r="I305" t="s">
        <v>2584</v>
      </c>
      <c r="J305" t="s">
        <v>2985</v>
      </c>
      <c r="M305" t="s">
        <v>161</v>
      </c>
      <c r="N305" s="54">
        <v>45015</v>
      </c>
      <c r="O305" s="54"/>
      <c r="P305" s="54"/>
      <c r="Q305" t="s">
        <v>2613</v>
      </c>
      <c r="R305" t="s">
        <v>161</v>
      </c>
    </row>
    <row r="306" spans="1:18" x14ac:dyDescent="0.3">
      <c r="A306" t="s">
        <v>884</v>
      </c>
      <c r="B306" t="s">
        <v>3035</v>
      </c>
      <c r="C306" t="s">
        <v>2578</v>
      </c>
      <c r="D306" t="s">
        <v>2610</v>
      </c>
      <c r="E306" t="s">
        <v>3037</v>
      </c>
      <c r="F306" t="s">
        <v>2735</v>
      </c>
      <c r="G306" t="s">
        <v>161</v>
      </c>
      <c r="H306" t="s">
        <v>2583</v>
      </c>
      <c r="I306" t="s">
        <v>2584</v>
      </c>
      <c r="J306" t="s">
        <v>2985</v>
      </c>
      <c r="M306" t="s">
        <v>161</v>
      </c>
      <c r="N306" s="54">
        <v>45015</v>
      </c>
      <c r="O306" s="54"/>
      <c r="P306" s="54"/>
      <c r="Q306" t="s">
        <v>2613</v>
      </c>
      <c r="R306" t="s">
        <v>161</v>
      </c>
    </row>
    <row r="307" spans="1:18" x14ac:dyDescent="0.3">
      <c r="A307" t="s">
        <v>884</v>
      </c>
      <c r="B307" t="s">
        <v>3038</v>
      </c>
      <c r="C307" t="s">
        <v>2578</v>
      </c>
      <c r="D307" t="s">
        <v>2610</v>
      </c>
      <c r="E307" t="s">
        <v>3039</v>
      </c>
      <c r="F307" t="s">
        <v>2590</v>
      </c>
      <c r="G307" t="s">
        <v>161</v>
      </c>
      <c r="H307" t="s">
        <v>2591</v>
      </c>
      <c r="I307" t="s">
        <v>2689</v>
      </c>
      <c r="J307" t="s">
        <v>2690</v>
      </c>
      <c r="M307" t="s">
        <v>161</v>
      </c>
      <c r="N307" s="54">
        <v>45867.644305555557</v>
      </c>
      <c r="O307" s="54"/>
      <c r="P307" s="54"/>
      <c r="Q307" t="s">
        <v>2613</v>
      </c>
      <c r="R307" t="s">
        <v>161</v>
      </c>
    </row>
    <row r="308" spans="1:18" x14ac:dyDescent="0.3">
      <c r="A308" t="s">
        <v>884</v>
      </c>
      <c r="B308" t="s">
        <v>3038</v>
      </c>
      <c r="C308" t="s">
        <v>2578</v>
      </c>
      <c r="D308" t="s">
        <v>2610</v>
      </c>
      <c r="E308" t="s">
        <v>3040</v>
      </c>
      <c r="F308" t="s">
        <v>2590</v>
      </c>
      <c r="G308" t="s">
        <v>161</v>
      </c>
      <c r="H308" t="s">
        <v>2591</v>
      </c>
      <c r="I308" t="s">
        <v>2689</v>
      </c>
      <c r="J308" t="s">
        <v>2690</v>
      </c>
      <c r="M308" t="s">
        <v>161</v>
      </c>
      <c r="N308" s="54">
        <v>45010.706724537034</v>
      </c>
      <c r="O308" s="54"/>
      <c r="P308" s="54"/>
      <c r="Q308" t="s">
        <v>2613</v>
      </c>
      <c r="R308" t="s">
        <v>161</v>
      </c>
    </row>
    <row r="309" spans="1:18" x14ac:dyDescent="0.3">
      <c r="A309" t="s">
        <v>884</v>
      </c>
      <c r="B309" t="s">
        <v>3041</v>
      </c>
      <c r="C309" t="s">
        <v>2578</v>
      </c>
      <c r="D309" t="s">
        <v>2610</v>
      </c>
      <c r="E309" t="s">
        <v>3042</v>
      </c>
      <c r="F309" t="s">
        <v>2753</v>
      </c>
      <c r="G309" t="s">
        <v>161</v>
      </c>
      <c r="H309" t="s">
        <v>2583</v>
      </c>
      <c r="I309" t="s">
        <v>2584</v>
      </c>
      <c r="J309" t="s">
        <v>2599</v>
      </c>
      <c r="M309" t="s">
        <v>161</v>
      </c>
      <c r="N309" s="54">
        <v>45015.750717592593</v>
      </c>
      <c r="O309" s="54"/>
      <c r="P309" s="54"/>
      <c r="Q309" t="s">
        <v>2613</v>
      </c>
      <c r="R309" t="s">
        <v>161</v>
      </c>
    </row>
    <row r="310" spans="1:18" x14ac:dyDescent="0.3">
      <c r="A310" t="s">
        <v>884</v>
      </c>
      <c r="B310" t="s">
        <v>3041</v>
      </c>
      <c r="C310" t="s">
        <v>2578</v>
      </c>
      <c r="D310" t="s">
        <v>2610</v>
      </c>
      <c r="E310" t="s">
        <v>3043</v>
      </c>
      <c r="F310" t="s">
        <v>2753</v>
      </c>
      <c r="G310" t="s">
        <v>161</v>
      </c>
      <c r="H310" t="s">
        <v>2583</v>
      </c>
      <c r="I310" t="s">
        <v>2584</v>
      </c>
      <c r="J310" t="s">
        <v>2599</v>
      </c>
      <c r="M310" t="s">
        <v>161</v>
      </c>
      <c r="N310" s="54">
        <v>45015.750891203701</v>
      </c>
      <c r="O310" s="54"/>
      <c r="P310" s="54"/>
      <c r="Q310" t="s">
        <v>2613</v>
      </c>
      <c r="R310" t="s">
        <v>161</v>
      </c>
    </row>
    <row r="311" spans="1:18" x14ac:dyDescent="0.3">
      <c r="A311" t="s">
        <v>884</v>
      </c>
      <c r="B311" t="s">
        <v>3044</v>
      </c>
      <c r="C311" t="s">
        <v>2578</v>
      </c>
      <c r="D311" t="s">
        <v>2610</v>
      </c>
      <c r="E311" t="s">
        <v>3045</v>
      </c>
      <c r="F311" t="s">
        <v>2598</v>
      </c>
      <c r="G311" t="s">
        <v>161</v>
      </c>
      <c r="H311" t="s">
        <v>2603</v>
      </c>
      <c r="I311" t="s">
        <v>2603</v>
      </c>
      <c r="J311" t="s">
        <v>2604</v>
      </c>
      <c r="M311" t="s">
        <v>161</v>
      </c>
      <c r="N311" s="54">
        <v>45010.825046296297</v>
      </c>
      <c r="O311" s="54"/>
      <c r="P311" s="54"/>
      <c r="Q311" t="s">
        <v>2613</v>
      </c>
      <c r="R311" t="s">
        <v>161</v>
      </c>
    </row>
    <row r="312" spans="1:18" x14ac:dyDescent="0.3">
      <c r="A312" t="s">
        <v>884</v>
      </c>
      <c r="B312" t="s">
        <v>3044</v>
      </c>
      <c r="C312" t="s">
        <v>2578</v>
      </c>
      <c r="D312" t="s">
        <v>2610</v>
      </c>
      <c r="E312" t="s">
        <v>3046</v>
      </c>
      <c r="F312" t="s">
        <v>2598</v>
      </c>
      <c r="G312" t="s">
        <v>161</v>
      </c>
      <c r="H312" t="s">
        <v>2603</v>
      </c>
      <c r="I312" t="s">
        <v>2603</v>
      </c>
      <c r="J312" t="s">
        <v>2604</v>
      </c>
      <c r="M312" t="s">
        <v>161</v>
      </c>
      <c r="N312" s="54">
        <v>45010.825150462966</v>
      </c>
      <c r="O312" s="54"/>
      <c r="P312" s="54"/>
      <c r="Q312" t="s">
        <v>2613</v>
      </c>
      <c r="R312" t="s">
        <v>161</v>
      </c>
    </row>
    <row r="313" spans="1:18" x14ac:dyDescent="0.3">
      <c r="A313" t="s">
        <v>884</v>
      </c>
      <c r="B313" t="s">
        <v>2577</v>
      </c>
      <c r="C313" t="s">
        <v>2578</v>
      </c>
      <c r="D313" t="s">
        <v>2610</v>
      </c>
      <c r="E313" t="s">
        <v>3047</v>
      </c>
      <c r="F313" t="s">
        <v>2581</v>
      </c>
      <c r="G313" t="s">
        <v>161</v>
      </c>
      <c r="H313" t="s">
        <v>2583</v>
      </c>
      <c r="I313" t="s">
        <v>2584</v>
      </c>
      <c r="J313" t="s">
        <v>2585</v>
      </c>
      <c r="M313" t="s">
        <v>161</v>
      </c>
      <c r="N313" s="54">
        <v>45015</v>
      </c>
      <c r="O313" s="54"/>
      <c r="P313" s="54"/>
      <c r="Q313" t="s">
        <v>2613</v>
      </c>
      <c r="R313" t="s">
        <v>161</v>
      </c>
    </row>
    <row r="314" spans="1:18" x14ac:dyDescent="0.3">
      <c r="A314" t="s">
        <v>884</v>
      </c>
      <c r="B314" t="s">
        <v>3048</v>
      </c>
      <c r="C314" t="s">
        <v>2578</v>
      </c>
      <c r="D314" t="s">
        <v>2610</v>
      </c>
      <c r="E314" t="s">
        <v>3049</v>
      </c>
      <c r="F314" t="s">
        <v>2598</v>
      </c>
      <c r="G314" t="s">
        <v>161</v>
      </c>
      <c r="H314" t="s">
        <v>2603</v>
      </c>
      <c r="I314" t="s">
        <v>2603</v>
      </c>
      <c r="J314" t="s">
        <v>2604</v>
      </c>
      <c r="M314" t="s">
        <v>161</v>
      </c>
      <c r="N314" s="54">
        <v>45681.582627314812</v>
      </c>
      <c r="O314" s="54"/>
      <c r="P314" s="54"/>
      <c r="Q314" t="s">
        <v>2613</v>
      </c>
      <c r="R314" t="s">
        <v>161</v>
      </c>
    </row>
    <row r="315" spans="1:18" x14ac:dyDescent="0.3">
      <c r="A315" t="s">
        <v>884</v>
      </c>
      <c r="B315" t="s">
        <v>3048</v>
      </c>
      <c r="C315" t="s">
        <v>2578</v>
      </c>
      <c r="D315" t="s">
        <v>2610</v>
      </c>
      <c r="E315" t="s">
        <v>3050</v>
      </c>
      <c r="F315" t="s">
        <v>2598</v>
      </c>
      <c r="G315" t="s">
        <v>161</v>
      </c>
      <c r="H315" t="s">
        <v>2603</v>
      </c>
      <c r="I315" t="s">
        <v>2603</v>
      </c>
      <c r="J315" t="s">
        <v>2604</v>
      </c>
      <c r="M315" t="s">
        <v>161</v>
      </c>
      <c r="N315" s="54">
        <v>45712.652719907404</v>
      </c>
      <c r="O315" s="54"/>
      <c r="P315" s="54"/>
      <c r="Q315" t="s">
        <v>2613</v>
      </c>
      <c r="R315" t="s">
        <v>161</v>
      </c>
    </row>
    <row r="316" spans="1:18" x14ac:dyDescent="0.3">
      <c r="A316" t="s">
        <v>884</v>
      </c>
      <c r="B316" t="s">
        <v>3051</v>
      </c>
      <c r="C316" t="s">
        <v>2578</v>
      </c>
      <c r="D316" t="s">
        <v>2610</v>
      </c>
      <c r="E316" t="s">
        <v>3052</v>
      </c>
      <c r="F316" t="s">
        <v>2590</v>
      </c>
      <c r="G316" t="s">
        <v>161</v>
      </c>
      <c r="H316" t="s">
        <v>2703</v>
      </c>
      <c r="I316" t="s">
        <v>2704</v>
      </c>
      <c r="J316" t="s">
        <v>2705</v>
      </c>
      <c r="M316" t="s">
        <v>161</v>
      </c>
      <c r="N316" s="54">
        <v>45015.695543981485</v>
      </c>
      <c r="O316" s="54"/>
      <c r="P316" s="54"/>
      <c r="Q316" t="s">
        <v>2613</v>
      </c>
      <c r="R316" t="s">
        <v>161</v>
      </c>
    </row>
    <row r="317" spans="1:18" x14ac:dyDescent="0.3">
      <c r="A317" t="s">
        <v>884</v>
      </c>
      <c r="B317" t="s">
        <v>3051</v>
      </c>
      <c r="C317" t="s">
        <v>2578</v>
      </c>
      <c r="D317" t="s">
        <v>2610</v>
      </c>
      <c r="E317" t="s">
        <v>3053</v>
      </c>
      <c r="F317" t="s">
        <v>2590</v>
      </c>
      <c r="G317" t="s">
        <v>161</v>
      </c>
      <c r="H317" t="s">
        <v>2703</v>
      </c>
      <c r="I317" t="s">
        <v>2704</v>
      </c>
      <c r="J317" t="s">
        <v>2705</v>
      </c>
      <c r="M317" t="s">
        <v>161</v>
      </c>
      <c r="N317" s="54">
        <v>45510.382916666669</v>
      </c>
      <c r="O317" s="54"/>
      <c r="P317" s="54"/>
      <c r="Q317" t="s">
        <v>2613</v>
      </c>
      <c r="R317" t="s">
        <v>161</v>
      </c>
    </row>
    <row r="318" spans="1:18" x14ac:dyDescent="0.3">
      <c r="A318" t="s">
        <v>884</v>
      </c>
      <c r="B318" t="s">
        <v>3051</v>
      </c>
      <c r="C318" t="s">
        <v>2578</v>
      </c>
      <c r="D318" t="s">
        <v>2610</v>
      </c>
      <c r="E318" t="s">
        <v>3054</v>
      </c>
      <c r="F318" t="s">
        <v>2590</v>
      </c>
      <c r="G318" t="s">
        <v>161</v>
      </c>
      <c r="H318" t="s">
        <v>2703</v>
      </c>
      <c r="I318" t="s">
        <v>2704</v>
      </c>
      <c r="J318" t="s">
        <v>2705</v>
      </c>
      <c r="M318" t="s">
        <v>161</v>
      </c>
      <c r="N318" s="54">
        <v>45015.696782407409</v>
      </c>
      <c r="O318" s="54"/>
      <c r="P318" s="54"/>
      <c r="Q318" t="s">
        <v>2613</v>
      </c>
      <c r="R318" t="s">
        <v>161</v>
      </c>
    </row>
    <row r="319" spans="1:18" x14ac:dyDescent="0.3">
      <c r="A319" t="s">
        <v>884</v>
      </c>
      <c r="B319" t="s">
        <v>3051</v>
      </c>
      <c r="C319" t="s">
        <v>2578</v>
      </c>
      <c r="D319" t="s">
        <v>2610</v>
      </c>
      <c r="E319" t="s">
        <v>3055</v>
      </c>
      <c r="F319" t="s">
        <v>2590</v>
      </c>
      <c r="G319" t="s">
        <v>161</v>
      </c>
      <c r="H319" t="s">
        <v>2703</v>
      </c>
      <c r="I319" t="s">
        <v>2704</v>
      </c>
      <c r="J319" t="s">
        <v>2705</v>
      </c>
      <c r="M319" t="s">
        <v>161</v>
      </c>
      <c r="N319" s="54">
        <v>45015.696944444448</v>
      </c>
      <c r="O319" s="54"/>
      <c r="P319" s="54"/>
      <c r="Q319" t="s">
        <v>2613</v>
      </c>
      <c r="R319" t="s">
        <v>161</v>
      </c>
    </row>
    <row r="320" spans="1:18" x14ac:dyDescent="0.3">
      <c r="A320" t="s">
        <v>884</v>
      </c>
      <c r="B320" t="s">
        <v>3051</v>
      </c>
      <c r="C320" t="s">
        <v>2578</v>
      </c>
      <c r="D320" t="s">
        <v>2610</v>
      </c>
      <c r="E320" t="s">
        <v>3056</v>
      </c>
      <c r="F320" t="s">
        <v>2581</v>
      </c>
      <c r="G320" t="s">
        <v>161</v>
      </c>
      <c r="H320" t="s">
        <v>2703</v>
      </c>
      <c r="I320" t="s">
        <v>2731</v>
      </c>
      <c r="J320" t="s">
        <v>2732</v>
      </c>
      <c r="M320" t="s">
        <v>161</v>
      </c>
      <c r="N320" s="54">
        <v>45128.673321759263</v>
      </c>
      <c r="O320" s="54"/>
      <c r="P320" s="54"/>
      <c r="Q320" t="s">
        <v>2613</v>
      </c>
      <c r="R320" t="s">
        <v>161</v>
      </c>
    </row>
    <row r="321" spans="1:18" x14ac:dyDescent="0.3">
      <c r="A321" t="s">
        <v>884</v>
      </c>
      <c r="B321" t="s">
        <v>3051</v>
      </c>
      <c r="C321" t="s">
        <v>2578</v>
      </c>
      <c r="D321" t="s">
        <v>2610</v>
      </c>
      <c r="E321" t="s">
        <v>3057</v>
      </c>
      <c r="F321" t="s">
        <v>2581</v>
      </c>
      <c r="G321" t="s">
        <v>161</v>
      </c>
      <c r="H321" t="s">
        <v>2703</v>
      </c>
      <c r="I321" t="s">
        <v>2731</v>
      </c>
      <c r="J321" t="s">
        <v>2732</v>
      </c>
      <c r="M321" t="s">
        <v>161</v>
      </c>
      <c r="N321" s="54">
        <v>45499.418738425928</v>
      </c>
      <c r="O321" s="54"/>
      <c r="P321" s="54"/>
      <c r="Q321" t="s">
        <v>2613</v>
      </c>
      <c r="R321" t="s">
        <v>161</v>
      </c>
    </row>
    <row r="322" spans="1:18" x14ac:dyDescent="0.3">
      <c r="A322" t="s">
        <v>884</v>
      </c>
      <c r="B322" t="s">
        <v>3051</v>
      </c>
      <c r="C322" t="s">
        <v>2578</v>
      </c>
      <c r="D322" t="s">
        <v>2610</v>
      </c>
      <c r="E322" t="s">
        <v>3058</v>
      </c>
      <c r="F322" t="s">
        <v>2590</v>
      </c>
      <c r="G322" t="s">
        <v>161</v>
      </c>
      <c r="H322" t="s">
        <v>2603</v>
      </c>
      <c r="I322" t="s">
        <v>2603</v>
      </c>
      <c r="J322" t="s">
        <v>2773</v>
      </c>
      <c r="M322" t="s">
        <v>161</v>
      </c>
      <c r="N322" s="54">
        <v>45485.620925925927</v>
      </c>
      <c r="O322" s="54"/>
      <c r="P322" s="54"/>
      <c r="Q322" t="s">
        <v>2613</v>
      </c>
      <c r="R322" t="s">
        <v>161</v>
      </c>
    </row>
    <row r="323" spans="1:18" x14ac:dyDescent="0.3">
      <c r="A323" t="s">
        <v>884</v>
      </c>
      <c r="B323" t="s">
        <v>3051</v>
      </c>
      <c r="C323" t="s">
        <v>2578</v>
      </c>
      <c r="D323" t="s">
        <v>2610</v>
      </c>
      <c r="E323" t="s">
        <v>3059</v>
      </c>
      <c r="F323" t="s">
        <v>2590</v>
      </c>
      <c r="G323" t="s">
        <v>161</v>
      </c>
      <c r="H323" t="s">
        <v>2603</v>
      </c>
      <c r="I323" t="s">
        <v>2603</v>
      </c>
      <c r="J323" t="s">
        <v>2773</v>
      </c>
      <c r="M323" t="s">
        <v>161</v>
      </c>
      <c r="N323" s="54">
        <v>45877.641284722224</v>
      </c>
      <c r="O323" s="54"/>
      <c r="P323" s="54"/>
      <c r="Q323" t="s">
        <v>2613</v>
      </c>
      <c r="R323" t="s">
        <v>161</v>
      </c>
    </row>
    <row r="324" spans="1:18" x14ac:dyDescent="0.3">
      <c r="A324" t="s">
        <v>884</v>
      </c>
      <c r="B324" t="s">
        <v>3051</v>
      </c>
      <c r="C324" t="s">
        <v>2578</v>
      </c>
      <c r="D324" t="s">
        <v>2610</v>
      </c>
      <c r="E324" t="s">
        <v>3060</v>
      </c>
      <c r="F324" t="s">
        <v>2590</v>
      </c>
      <c r="G324" t="s">
        <v>161</v>
      </c>
      <c r="H324" t="s">
        <v>2603</v>
      </c>
      <c r="I324" t="s">
        <v>2603</v>
      </c>
      <c r="J324" t="s">
        <v>2773</v>
      </c>
      <c r="M324" t="s">
        <v>161</v>
      </c>
      <c r="N324" s="54">
        <v>45855.407488425924</v>
      </c>
      <c r="O324" s="54"/>
      <c r="P324" s="54"/>
      <c r="Q324" t="s">
        <v>2613</v>
      </c>
      <c r="R324" t="s">
        <v>161</v>
      </c>
    </row>
    <row r="325" spans="1:18" x14ac:dyDescent="0.3">
      <c r="A325" t="s">
        <v>884</v>
      </c>
      <c r="B325" t="s">
        <v>3051</v>
      </c>
      <c r="C325" t="s">
        <v>2578</v>
      </c>
      <c r="D325" t="s">
        <v>2610</v>
      </c>
      <c r="E325" t="s">
        <v>3061</v>
      </c>
      <c r="F325" t="s">
        <v>2590</v>
      </c>
      <c r="G325" t="s">
        <v>161</v>
      </c>
      <c r="H325" t="s">
        <v>2603</v>
      </c>
      <c r="I325" t="s">
        <v>2603</v>
      </c>
      <c r="J325" t="s">
        <v>2773</v>
      </c>
      <c r="M325" t="s">
        <v>161</v>
      </c>
      <c r="N325" s="54">
        <v>45516.380069444444</v>
      </c>
      <c r="O325" s="54"/>
      <c r="P325" s="54"/>
      <c r="Q325" t="s">
        <v>2613</v>
      </c>
      <c r="R325" t="s">
        <v>161</v>
      </c>
    </row>
    <row r="326" spans="1:18" x14ac:dyDescent="0.3">
      <c r="A326" t="s">
        <v>884</v>
      </c>
      <c r="B326" t="s">
        <v>3051</v>
      </c>
      <c r="C326" t="s">
        <v>2578</v>
      </c>
      <c r="D326" t="s">
        <v>2610</v>
      </c>
      <c r="E326" t="s">
        <v>3062</v>
      </c>
      <c r="F326" t="s">
        <v>2590</v>
      </c>
      <c r="G326" t="s">
        <v>161</v>
      </c>
      <c r="H326" t="s">
        <v>2603</v>
      </c>
      <c r="I326" t="s">
        <v>2603</v>
      </c>
      <c r="J326" t="s">
        <v>2773</v>
      </c>
      <c r="M326" t="s">
        <v>161</v>
      </c>
      <c r="N326" s="54">
        <v>45681.771087962959</v>
      </c>
      <c r="O326" s="54"/>
      <c r="P326" s="54"/>
      <c r="Q326" t="s">
        <v>2613</v>
      </c>
      <c r="R326" t="s">
        <v>161</v>
      </c>
    </row>
    <row r="327" spans="1:18" x14ac:dyDescent="0.3">
      <c r="A327" t="s">
        <v>884</v>
      </c>
      <c r="B327" t="s">
        <v>3051</v>
      </c>
      <c r="C327" t="s">
        <v>2578</v>
      </c>
      <c r="D327" t="s">
        <v>2610</v>
      </c>
      <c r="E327" t="s">
        <v>3063</v>
      </c>
      <c r="F327" t="s">
        <v>2590</v>
      </c>
      <c r="G327" t="s">
        <v>161</v>
      </c>
      <c r="H327" t="s">
        <v>2703</v>
      </c>
      <c r="I327" t="s">
        <v>2704</v>
      </c>
      <c r="J327" t="s">
        <v>2705</v>
      </c>
      <c r="M327" t="s">
        <v>161</v>
      </c>
      <c r="N327" s="54">
        <v>45015.696342592593</v>
      </c>
      <c r="O327" s="54"/>
      <c r="P327" s="54"/>
      <c r="Q327" t="s">
        <v>2613</v>
      </c>
      <c r="R327" t="s">
        <v>161</v>
      </c>
    </row>
    <row r="328" spans="1:18" x14ac:dyDescent="0.3">
      <c r="A328" t="s">
        <v>884</v>
      </c>
      <c r="B328" t="s">
        <v>3051</v>
      </c>
      <c r="C328" t="s">
        <v>2578</v>
      </c>
      <c r="D328" t="s">
        <v>2610</v>
      </c>
      <c r="E328" t="s">
        <v>3064</v>
      </c>
      <c r="F328" t="s">
        <v>2598</v>
      </c>
      <c r="G328" t="s">
        <v>161</v>
      </c>
      <c r="H328" t="s">
        <v>2603</v>
      </c>
      <c r="I328" t="s">
        <v>2603</v>
      </c>
      <c r="J328" t="s">
        <v>2604</v>
      </c>
      <c r="M328" t="s">
        <v>161</v>
      </c>
      <c r="N328" s="54">
        <v>45015</v>
      </c>
      <c r="O328" s="54"/>
      <c r="P328" s="54"/>
      <c r="Q328" t="s">
        <v>2613</v>
      </c>
      <c r="R328" t="s">
        <v>161</v>
      </c>
    </row>
    <row r="329" spans="1:18" x14ac:dyDescent="0.3">
      <c r="A329" t="s">
        <v>884</v>
      </c>
      <c r="B329" t="s">
        <v>3051</v>
      </c>
      <c r="C329" t="s">
        <v>2578</v>
      </c>
      <c r="D329" t="s">
        <v>2610</v>
      </c>
      <c r="E329" t="s">
        <v>3065</v>
      </c>
      <c r="F329" t="s">
        <v>2598</v>
      </c>
      <c r="G329" t="s">
        <v>161</v>
      </c>
      <c r="H329" t="s">
        <v>2603</v>
      </c>
      <c r="I329" t="s">
        <v>2603</v>
      </c>
      <c r="J329" t="s">
        <v>2604</v>
      </c>
      <c r="M329" t="s">
        <v>161</v>
      </c>
      <c r="N329" s="54">
        <v>45561.736956018518</v>
      </c>
      <c r="O329" s="54"/>
      <c r="P329" s="54"/>
      <c r="Q329" t="s">
        <v>2613</v>
      </c>
      <c r="R329" t="s">
        <v>161</v>
      </c>
    </row>
    <row r="330" spans="1:18" x14ac:dyDescent="0.3">
      <c r="A330" t="s">
        <v>884</v>
      </c>
      <c r="B330" t="s">
        <v>3051</v>
      </c>
      <c r="C330" t="s">
        <v>2578</v>
      </c>
      <c r="D330" t="s">
        <v>2610</v>
      </c>
      <c r="E330" t="s">
        <v>3066</v>
      </c>
      <c r="F330" t="s">
        <v>2598</v>
      </c>
      <c r="G330" t="s">
        <v>161</v>
      </c>
      <c r="H330" t="s">
        <v>2603</v>
      </c>
      <c r="I330" t="s">
        <v>2603</v>
      </c>
      <c r="J330" t="s">
        <v>2604</v>
      </c>
      <c r="M330" t="s">
        <v>161</v>
      </c>
      <c r="N330" s="54">
        <v>45015</v>
      </c>
      <c r="O330" s="54"/>
      <c r="P330" s="54"/>
      <c r="Q330" t="s">
        <v>2613</v>
      </c>
      <c r="R330" t="s">
        <v>161</v>
      </c>
    </row>
    <row r="331" spans="1:18" x14ac:dyDescent="0.3">
      <c r="A331" t="s">
        <v>884</v>
      </c>
      <c r="B331" t="s">
        <v>3051</v>
      </c>
      <c r="C331" t="s">
        <v>2578</v>
      </c>
      <c r="D331" t="s">
        <v>2610</v>
      </c>
      <c r="E331" t="s">
        <v>3067</v>
      </c>
      <c r="F331" t="s">
        <v>2598</v>
      </c>
      <c r="G331" t="s">
        <v>161</v>
      </c>
      <c r="H331" t="s">
        <v>2603</v>
      </c>
      <c r="I331" t="s">
        <v>2603</v>
      </c>
      <c r="J331" t="s">
        <v>2604</v>
      </c>
      <c r="M331" t="s">
        <v>161</v>
      </c>
      <c r="N331" s="54">
        <v>45377.416689814818</v>
      </c>
      <c r="O331" s="54"/>
      <c r="P331" s="54"/>
      <c r="Q331" t="s">
        <v>2613</v>
      </c>
      <c r="R331" t="s">
        <v>161</v>
      </c>
    </row>
    <row r="332" spans="1:18" x14ac:dyDescent="0.3">
      <c r="A332" t="s">
        <v>884</v>
      </c>
      <c r="B332" t="s">
        <v>3051</v>
      </c>
      <c r="C332" t="s">
        <v>2578</v>
      </c>
      <c r="D332" t="s">
        <v>2610</v>
      </c>
      <c r="E332" t="s">
        <v>3068</v>
      </c>
      <c r="F332" t="s">
        <v>2598</v>
      </c>
      <c r="G332" t="s">
        <v>161</v>
      </c>
      <c r="H332" t="s">
        <v>2603</v>
      </c>
      <c r="I332" t="s">
        <v>2603</v>
      </c>
      <c r="J332" t="s">
        <v>2604</v>
      </c>
      <c r="M332" t="s">
        <v>161</v>
      </c>
      <c r="N332" s="54">
        <v>45015</v>
      </c>
      <c r="O332" s="54"/>
      <c r="P332" s="54"/>
      <c r="Q332" t="s">
        <v>2613</v>
      </c>
      <c r="R332" t="s">
        <v>161</v>
      </c>
    </row>
    <row r="333" spans="1:18" x14ac:dyDescent="0.3">
      <c r="A333" t="s">
        <v>884</v>
      </c>
      <c r="B333" t="s">
        <v>3051</v>
      </c>
      <c r="C333" t="s">
        <v>2578</v>
      </c>
      <c r="D333" t="s">
        <v>2610</v>
      </c>
      <c r="E333" t="s">
        <v>3069</v>
      </c>
      <c r="F333" t="s">
        <v>2598</v>
      </c>
      <c r="G333" t="s">
        <v>161</v>
      </c>
      <c r="H333" t="s">
        <v>2603</v>
      </c>
      <c r="I333" t="s">
        <v>2603</v>
      </c>
      <c r="J333" t="s">
        <v>2604</v>
      </c>
      <c r="M333" t="s">
        <v>161</v>
      </c>
      <c r="N333" s="54">
        <v>45155.395462962966</v>
      </c>
      <c r="O333" s="54"/>
      <c r="P333" s="54"/>
      <c r="Q333" t="s">
        <v>2613</v>
      </c>
      <c r="R333" t="s">
        <v>161</v>
      </c>
    </row>
    <row r="334" spans="1:18" x14ac:dyDescent="0.3">
      <c r="A334" t="s">
        <v>884</v>
      </c>
      <c r="B334" t="s">
        <v>3051</v>
      </c>
      <c r="C334" t="s">
        <v>2578</v>
      </c>
      <c r="D334" t="s">
        <v>2610</v>
      </c>
      <c r="E334" t="s">
        <v>3070</v>
      </c>
      <c r="F334" t="s">
        <v>2598</v>
      </c>
      <c r="G334" t="s">
        <v>161</v>
      </c>
      <c r="H334" t="s">
        <v>2603</v>
      </c>
      <c r="I334" t="s">
        <v>2603</v>
      </c>
      <c r="J334" t="s">
        <v>2604</v>
      </c>
      <c r="M334" t="s">
        <v>161</v>
      </c>
      <c r="N334" s="54">
        <v>45561.737743055557</v>
      </c>
      <c r="O334" s="54"/>
      <c r="P334" s="54"/>
      <c r="Q334" t="s">
        <v>2613</v>
      </c>
      <c r="R334" t="s">
        <v>161</v>
      </c>
    </row>
    <row r="335" spans="1:18" x14ac:dyDescent="0.3">
      <c r="A335" t="s">
        <v>884</v>
      </c>
      <c r="B335" t="s">
        <v>3051</v>
      </c>
      <c r="C335" t="s">
        <v>2578</v>
      </c>
      <c r="D335" t="s">
        <v>2610</v>
      </c>
      <c r="E335" t="s">
        <v>3071</v>
      </c>
      <c r="F335" t="s">
        <v>2598</v>
      </c>
      <c r="G335" t="s">
        <v>161</v>
      </c>
      <c r="H335" t="s">
        <v>2603</v>
      </c>
      <c r="I335" t="s">
        <v>2603</v>
      </c>
      <c r="J335" t="s">
        <v>2604</v>
      </c>
      <c r="M335" t="s">
        <v>161</v>
      </c>
      <c r="N335" s="54">
        <v>45177.352731481478</v>
      </c>
      <c r="O335" s="54"/>
      <c r="P335" s="54"/>
      <c r="Q335" t="s">
        <v>2613</v>
      </c>
      <c r="R335" t="s">
        <v>161</v>
      </c>
    </row>
    <row r="336" spans="1:18" x14ac:dyDescent="0.3">
      <c r="A336" t="s">
        <v>884</v>
      </c>
      <c r="B336" t="s">
        <v>3072</v>
      </c>
      <c r="C336" t="s">
        <v>2578</v>
      </c>
      <c r="D336" t="s">
        <v>2610</v>
      </c>
      <c r="E336" t="s">
        <v>3073</v>
      </c>
      <c r="F336" t="s">
        <v>2598</v>
      </c>
      <c r="G336" t="s">
        <v>161</v>
      </c>
      <c r="H336" t="s">
        <v>2603</v>
      </c>
      <c r="I336" t="s">
        <v>2603</v>
      </c>
      <c r="J336" t="s">
        <v>2604</v>
      </c>
      <c r="M336" t="s">
        <v>161</v>
      </c>
      <c r="N336" s="54">
        <v>45010.824340277781</v>
      </c>
      <c r="O336" s="54"/>
      <c r="P336" s="54"/>
      <c r="Q336" t="s">
        <v>2613</v>
      </c>
      <c r="R336" t="s">
        <v>161</v>
      </c>
    </row>
    <row r="337" spans="1:18" x14ac:dyDescent="0.3">
      <c r="A337" t="s">
        <v>884</v>
      </c>
      <c r="B337" t="s">
        <v>3072</v>
      </c>
      <c r="C337" t="s">
        <v>2578</v>
      </c>
      <c r="D337" t="s">
        <v>2610</v>
      </c>
      <c r="E337" t="s">
        <v>3074</v>
      </c>
      <c r="F337" t="s">
        <v>2598</v>
      </c>
      <c r="G337" t="s">
        <v>161</v>
      </c>
      <c r="H337" t="s">
        <v>2603</v>
      </c>
      <c r="I337" t="s">
        <v>2603</v>
      </c>
      <c r="J337" t="s">
        <v>2604</v>
      </c>
      <c r="M337" t="s">
        <v>161</v>
      </c>
      <c r="N337" s="54">
        <v>45010.824467592596</v>
      </c>
      <c r="O337" s="54"/>
      <c r="P337" s="54"/>
      <c r="Q337" t="s">
        <v>2613</v>
      </c>
      <c r="R337" t="s">
        <v>161</v>
      </c>
    </row>
    <row r="338" spans="1:18" x14ac:dyDescent="0.3">
      <c r="A338" t="s">
        <v>884</v>
      </c>
      <c r="B338" t="s">
        <v>3075</v>
      </c>
      <c r="C338" t="s">
        <v>2578</v>
      </c>
      <c r="D338" t="s">
        <v>2610</v>
      </c>
      <c r="E338" t="s">
        <v>3076</v>
      </c>
      <c r="F338" t="s">
        <v>2581</v>
      </c>
      <c r="G338" t="s">
        <v>161</v>
      </c>
      <c r="H338" t="s">
        <v>2703</v>
      </c>
      <c r="I338" t="s">
        <v>2709</v>
      </c>
      <c r="J338" t="s">
        <v>2710</v>
      </c>
      <c r="M338" t="s">
        <v>161</v>
      </c>
      <c r="N338" s="54">
        <v>45010.751550925925</v>
      </c>
      <c r="O338" s="54"/>
      <c r="P338" s="54"/>
      <c r="Q338" t="s">
        <v>2613</v>
      </c>
      <c r="R338" t="s">
        <v>161</v>
      </c>
    </row>
    <row r="339" spans="1:18" x14ac:dyDescent="0.3">
      <c r="A339" t="s">
        <v>884</v>
      </c>
      <c r="B339" t="s">
        <v>3075</v>
      </c>
      <c r="C339" t="s">
        <v>2578</v>
      </c>
      <c r="D339" t="s">
        <v>2610</v>
      </c>
      <c r="E339" t="s">
        <v>3077</v>
      </c>
      <c r="F339" t="s">
        <v>2581</v>
      </c>
      <c r="G339" t="s">
        <v>161</v>
      </c>
      <c r="H339" t="s">
        <v>2703</v>
      </c>
      <c r="I339" t="s">
        <v>2709</v>
      </c>
      <c r="J339" t="s">
        <v>2710</v>
      </c>
      <c r="M339" t="s">
        <v>161</v>
      </c>
      <c r="N339" s="54">
        <v>45010.751805555556</v>
      </c>
      <c r="O339" s="54"/>
      <c r="P339" s="54"/>
      <c r="Q339" t="s">
        <v>2613</v>
      </c>
      <c r="R339" t="s">
        <v>161</v>
      </c>
    </row>
    <row r="340" spans="1:18" x14ac:dyDescent="0.3">
      <c r="A340" t="s">
        <v>884</v>
      </c>
      <c r="B340" t="s">
        <v>3075</v>
      </c>
      <c r="C340" t="s">
        <v>2578</v>
      </c>
      <c r="D340" t="s">
        <v>2610</v>
      </c>
      <c r="E340" t="s">
        <v>3078</v>
      </c>
      <c r="F340" t="s">
        <v>2581</v>
      </c>
      <c r="G340" t="s">
        <v>161</v>
      </c>
      <c r="H340" t="s">
        <v>2703</v>
      </c>
      <c r="I340" t="s">
        <v>2709</v>
      </c>
      <c r="J340" t="s">
        <v>2710</v>
      </c>
      <c r="M340" t="s">
        <v>161</v>
      </c>
      <c r="N340" s="54">
        <v>45010.751400462963</v>
      </c>
      <c r="O340" s="54"/>
      <c r="P340" s="54"/>
      <c r="Q340" t="s">
        <v>2613</v>
      </c>
      <c r="R340" t="s">
        <v>161</v>
      </c>
    </row>
    <row r="341" spans="1:18" x14ac:dyDescent="0.3">
      <c r="A341" t="s">
        <v>884</v>
      </c>
      <c r="B341" t="s">
        <v>3079</v>
      </c>
      <c r="C341" t="s">
        <v>2578</v>
      </c>
      <c r="D341" t="s">
        <v>2610</v>
      </c>
      <c r="E341" t="s">
        <v>3080</v>
      </c>
      <c r="F341" t="s">
        <v>2590</v>
      </c>
      <c r="G341" t="s">
        <v>161</v>
      </c>
      <c r="H341" t="s">
        <v>2703</v>
      </c>
      <c r="I341" t="s">
        <v>2704</v>
      </c>
      <c r="J341" t="s">
        <v>2705</v>
      </c>
      <c r="M341" t="s">
        <v>161</v>
      </c>
      <c r="N341" s="54">
        <v>45015.675833333335</v>
      </c>
      <c r="O341" s="54"/>
      <c r="P341" s="54"/>
      <c r="Q341" t="s">
        <v>2613</v>
      </c>
      <c r="R341" t="s">
        <v>161</v>
      </c>
    </row>
    <row r="342" spans="1:18" x14ac:dyDescent="0.3">
      <c r="A342" t="s">
        <v>884</v>
      </c>
      <c r="B342" t="s">
        <v>3079</v>
      </c>
      <c r="C342" t="s">
        <v>2578</v>
      </c>
      <c r="D342" t="s">
        <v>2610</v>
      </c>
      <c r="E342" t="s">
        <v>3081</v>
      </c>
      <c r="F342" t="s">
        <v>2590</v>
      </c>
      <c r="G342" t="s">
        <v>161</v>
      </c>
      <c r="H342" t="s">
        <v>2703</v>
      </c>
      <c r="I342" t="s">
        <v>2704</v>
      </c>
      <c r="J342" t="s">
        <v>2705</v>
      </c>
      <c r="M342" t="s">
        <v>161</v>
      </c>
      <c r="N342" s="54">
        <v>45015.676064814812</v>
      </c>
      <c r="O342" s="54"/>
      <c r="P342" s="54"/>
      <c r="Q342" t="s">
        <v>2613</v>
      </c>
      <c r="R342" t="s">
        <v>161</v>
      </c>
    </row>
    <row r="343" spans="1:18" x14ac:dyDescent="0.3">
      <c r="A343" t="s">
        <v>884</v>
      </c>
      <c r="B343" t="s">
        <v>3079</v>
      </c>
      <c r="C343" t="s">
        <v>2578</v>
      </c>
      <c r="D343" t="s">
        <v>2610</v>
      </c>
      <c r="E343" t="s">
        <v>3082</v>
      </c>
      <c r="F343" t="s">
        <v>2590</v>
      </c>
      <c r="G343" t="s">
        <v>161</v>
      </c>
      <c r="H343" t="s">
        <v>2703</v>
      </c>
      <c r="I343" t="s">
        <v>2704</v>
      </c>
      <c r="J343" t="s">
        <v>2705</v>
      </c>
      <c r="M343" t="s">
        <v>161</v>
      </c>
      <c r="N343" s="54">
        <v>45015.678483796299</v>
      </c>
      <c r="O343" s="54"/>
      <c r="P343" s="54"/>
      <c r="Q343" t="s">
        <v>2613</v>
      </c>
      <c r="R343" t="s">
        <v>161</v>
      </c>
    </row>
    <row r="344" spans="1:18" x14ac:dyDescent="0.3">
      <c r="A344" t="s">
        <v>884</v>
      </c>
      <c r="B344" t="s">
        <v>3079</v>
      </c>
      <c r="C344" t="s">
        <v>2578</v>
      </c>
      <c r="D344" t="s">
        <v>2610</v>
      </c>
      <c r="E344" t="s">
        <v>3083</v>
      </c>
      <c r="F344" t="s">
        <v>2590</v>
      </c>
      <c r="G344" t="s">
        <v>161</v>
      </c>
      <c r="H344" t="s">
        <v>2703</v>
      </c>
      <c r="I344" t="s">
        <v>2704</v>
      </c>
      <c r="J344" t="s">
        <v>2705</v>
      </c>
      <c r="M344" t="s">
        <v>161</v>
      </c>
      <c r="N344" s="54">
        <v>45015.678773148145</v>
      </c>
      <c r="O344" s="54"/>
      <c r="P344" s="54"/>
      <c r="Q344" t="s">
        <v>2613</v>
      </c>
      <c r="R344" t="s">
        <v>161</v>
      </c>
    </row>
    <row r="345" spans="1:18" x14ac:dyDescent="0.3">
      <c r="A345" t="s">
        <v>884</v>
      </c>
      <c r="B345" t="s">
        <v>3079</v>
      </c>
      <c r="C345" t="s">
        <v>2578</v>
      </c>
      <c r="D345" t="s">
        <v>2610</v>
      </c>
      <c r="E345" t="s">
        <v>3084</v>
      </c>
      <c r="F345" t="s">
        <v>2590</v>
      </c>
      <c r="G345" t="s">
        <v>161</v>
      </c>
      <c r="H345" t="s">
        <v>2703</v>
      </c>
      <c r="I345" t="s">
        <v>2704</v>
      </c>
      <c r="J345" t="s">
        <v>2705</v>
      </c>
      <c r="M345" t="s">
        <v>161</v>
      </c>
      <c r="N345" s="54">
        <v>45015.677222222221</v>
      </c>
      <c r="O345" s="54"/>
      <c r="P345" s="54"/>
      <c r="Q345" t="s">
        <v>2613</v>
      </c>
      <c r="R345" t="s">
        <v>161</v>
      </c>
    </row>
    <row r="346" spans="1:18" x14ac:dyDescent="0.3">
      <c r="A346" t="s">
        <v>884</v>
      </c>
      <c r="B346" t="s">
        <v>3079</v>
      </c>
      <c r="C346" t="s">
        <v>2578</v>
      </c>
      <c r="D346" t="s">
        <v>2610</v>
      </c>
      <c r="E346" t="s">
        <v>3085</v>
      </c>
      <c r="F346" t="s">
        <v>2590</v>
      </c>
      <c r="G346" t="s">
        <v>161</v>
      </c>
      <c r="H346" t="s">
        <v>2703</v>
      </c>
      <c r="I346" t="s">
        <v>2704</v>
      </c>
      <c r="J346" t="s">
        <v>2705</v>
      </c>
      <c r="M346" t="s">
        <v>161</v>
      </c>
      <c r="N346" s="54">
        <v>45015.677395833336</v>
      </c>
      <c r="O346" s="54"/>
      <c r="P346" s="54"/>
      <c r="Q346" t="s">
        <v>2613</v>
      </c>
      <c r="R346" t="s">
        <v>161</v>
      </c>
    </row>
    <row r="347" spans="1:18" x14ac:dyDescent="0.3">
      <c r="A347" t="s">
        <v>884</v>
      </c>
      <c r="B347" t="s">
        <v>3079</v>
      </c>
      <c r="C347" t="s">
        <v>2578</v>
      </c>
      <c r="D347" t="s">
        <v>2610</v>
      </c>
      <c r="E347" t="s">
        <v>3086</v>
      </c>
      <c r="F347" t="s">
        <v>2590</v>
      </c>
      <c r="G347" t="s">
        <v>161</v>
      </c>
      <c r="H347" t="s">
        <v>2703</v>
      </c>
      <c r="I347" t="s">
        <v>2704</v>
      </c>
      <c r="J347" t="s">
        <v>2705</v>
      </c>
      <c r="M347" t="s">
        <v>161</v>
      </c>
      <c r="N347" s="54">
        <v>45834.427685185183</v>
      </c>
      <c r="O347" s="54"/>
      <c r="P347" s="54"/>
      <c r="Q347" t="s">
        <v>2613</v>
      </c>
      <c r="R347" t="s">
        <v>161</v>
      </c>
    </row>
    <row r="348" spans="1:18" x14ac:dyDescent="0.3">
      <c r="A348" t="s">
        <v>884</v>
      </c>
      <c r="B348" t="s">
        <v>3079</v>
      </c>
      <c r="C348" t="s">
        <v>2578</v>
      </c>
      <c r="D348" t="s">
        <v>2610</v>
      </c>
      <c r="E348" t="s">
        <v>3087</v>
      </c>
      <c r="F348" t="s">
        <v>2590</v>
      </c>
      <c r="G348" t="s">
        <v>161</v>
      </c>
      <c r="H348" t="s">
        <v>2703</v>
      </c>
      <c r="I348" t="s">
        <v>2704</v>
      </c>
      <c r="J348" t="s">
        <v>2705</v>
      </c>
      <c r="M348" t="s">
        <v>161</v>
      </c>
      <c r="N348" s="54">
        <v>45548.647523148145</v>
      </c>
      <c r="O348" s="54"/>
      <c r="P348" s="54"/>
      <c r="Q348" t="s">
        <v>2613</v>
      </c>
      <c r="R348" t="s">
        <v>161</v>
      </c>
    </row>
    <row r="349" spans="1:18" x14ac:dyDescent="0.3">
      <c r="A349" t="s">
        <v>884</v>
      </c>
      <c r="B349" t="s">
        <v>3079</v>
      </c>
      <c r="C349" t="s">
        <v>2578</v>
      </c>
      <c r="D349" t="s">
        <v>2610</v>
      </c>
      <c r="E349" t="s">
        <v>3088</v>
      </c>
      <c r="F349" t="s">
        <v>2590</v>
      </c>
      <c r="G349" t="s">
        <v>161</v>
      </c>
      <c r="H349" t="s">
        <v>2703</v>
      </c>
      <c r="I349" t="s">
        <v>2704</v>
      </c>
      <c r="J349" t="s">
        <v>2705</v>
      </c>
      <c r="M349" t="s">
        <v>161</v>
      </c>
      <c r="N349" s="54">
        <v>45015.680474537039</v>
      </c>
      <c r="O349" s="54"/>
      <c r="P349" s="54"/>
      <c r="Q349" t="s">
        <v>2613</v>
      </c>
      <c r="R349" t="s">
        <v>161</v>
      </c>
    </row>
    <row r="350" spans="1:18" x14ac:dyDescent="0.3">
      <c r="A350" t="s">
        <v>884</v>
      </c>
      <c r="B350" t="s">
        <v>3079</v>
      </c>
      <c r="C350" t="s">
        <v>2578</v>
      </c>
      <c r="D350" t="s">
        <v>2610</v>
      </c>
      <c r="E350" t="s">
        <v>3089</v>
      </c>
      <c r="F350" t="s">
        <v>2590</v>
      </c>
      <c r="G350" t="s">
        <v>161</v>
      </c>
      <c r="H350" t="s">
        <v>2703</v>
      </c>
      <c r="I350" t="s">
        <v>2704</v>
      </c>
      <c r="J350" t="s">
        <v>2705</v>
      </c>
      <c r="M350" t="s">
        <v>161</v>
      </c>
      <c r="N350" s="54">
        <v>45404.835879629631</v>
      </c>
      <c r="O350" s="54"/>
      <c r="P350" s="54"/>
      <c r="Q350" t="s">
        <v>2613</v>
      </c>
      <c r="R350" t="s">
        <v>161</v>
      </c>
    </row>
    <row r="351" spans="1:18" x14ac:dyDescent="0.3">
      <c r="A351" t="s">
        <v>884</v>
      </c>
      <c r="B351" t="s">
        <v>3079</v>
      </c>
      <c r="C351" t="s">
        <v>2578</v>
      </c>
      <c r="D351" t="s">
        <v>2610</v>
      </c>
      <c r="E351" t="s">
        <v>3090</v>
      </c>
      <c r="F351" t="s">
        <v>2590</v>
      </c>
      <c r="G351" t="s">
        <v>161</v>
      </c>
      <c r="H351" t="s">
        <v>2703</v>
      </c>
      <c r="I351" t="s">
        <v>2704</v>
      </c>
      <c r="J351" t="s">
        <v>2705</v>
      </c>
      <c r="M351" t="s">
        <v>161</v>
      </c>
      <c r="N351" s="54">
        <v>45015.680138888885</v>
      </c>
      <c r="O351" s="54"/>
      <c r="P351" s="54"/>
      <c r="Q351" t="s">
        <v>2613</v>
      </c>
      <c r="R351" t="s">
        <v>161</v>
      </c>
    </row>
    <row r="352" spans="1:18" x14ac:dyDescent="0.3">
      <c r="A352" t="s">
        <v>884</v>
      </c>
      <c r="B352" t="s">
        <v>3091</v>
      </c>
      <c r="C352" t="s">
        <v>2578</v>
      </c>
      <c r="D352" t="s">
        <v>2610</v>
      </c>
      <c r="E352" t="s">
        <v>3092</v>
      </c>
      <c r="F352" t="s">
        <v>2590</v>
      </c>
      <c r="G352" t="s">
        <v>161</v>
      </c>
      <c r="H352" t="s">
        <v>2591</v>
      </c>
      <c r="I352" t="s">
        <v>2685</v>
      </c>
      <c r="J352" t="s">
        <v>2686</v>
      </c>
      <c r="M352" t="s">
        <v>161</v>
      </c>
      <c r="N352" s="54">
        <v>45010.69636574074</v>
      </c>
      <c r="O352" s="54"/>
      <c r="P352" s="54"/>
      <c r="Q352" t="s">
        <v>2613</v>
      </c>
      <c r="R352" t="s">
        <v>161</v>
      </c>
    </row>
    <row r="353" spans="1:18" x14ac:dyDescent="0.3">
      <c r="A353" t="s">
        <v>884</v>
      </c>
      <c r="B353" t="s">
        <v>3091</v>
      </c>
      <c r="C353" t="s">
        <v>2578</v>
      </c>
      <c r="D353" t="s">
        <v>2610</v>
      </c>
      <c r="E353" t="s">
        <v>3093</v>
      </c>
      <c r="F353" t="s">
        <v>2590</v>
      </c>
      <c r="G353" t="s">
        <v>161</v>
      </c>
      <c r="H353" t="s">
        <v>2591</v>
      </c>
      <c r="I353" t="s">
        <v>2685</v>
      </c>
      <c r="J353" t="s">
        <v>2686</v>
      </c>
      <c r="M353" t="s">
        <v>161</v>
      </c>
      <c r="N353" s="54">
        <v>45010.696562500001</v>
      </c>
      <c r="O353" s="54"/>
      <c r="P353" s="54"/>
      <c r="Q353" t="s">
        <v>2613</v>
      </c>
      <c r="R353" t="s">
        <v>161</v>
      </c>
    </row>
    <row r="354" spans="1:18" x14ac:dyDescent="0.3">
      <c r="A354" t="s">
        <v>884</v>
      </c>
      <c r="B354" t="s">
        <v>3094</v>
      </c>
      <c r="C354" t="s">
        <v>2578</v>
      </c>
      <c r="D354" t="s">
        <v>2610</v>
      </c>
      <c r="E354" t="s">
        <v>3095</v>
      </c>
      <c r="F354" t="s">
        <v>2590</v>
      </c>
      <c r="G354" t="s">
        <v>161</v>
      </c>
      <c r="H354" t="s">
        <v>2591</v>
      </c>
      <c r="I354" t="s">
        <v>2592</v>
      </c>
      <c r="J354" t="s">
        <v>2593</v>
      </c>
      <c r="M354" t="s">
        <v>161</v>
      </c>
      <c r="N354" s="54">
        <v>45756.619386574072</v>
      </c>
      <c r="O354" s="54"/>
      <c r="P354" s="54"/>
      <c r="Q354" t="s">
        <v>2613</v>
      </c>
      <c r="R354" t="s">
        <v>161</v>
      </c>
    </row>
    <row r="355" spans="1:18" x14ac:dyDescent="0.3">
      <c r="A355" t="s">
        <v>884</v>
      </c>
      <c r="B355" t="s">
        <v>3094</v>
      </c>
      <c r="C355" t="s">
        <v>2578</v>
      </c>
      <c r="D355" t="s">
        <v>2610</v>
      </c>
      <c r="E355" t="s">
        <v>3096</v>
      </c>
      <c r="F355" t="s">
        <v>2590</v>
      </c>
      <c r="G355" t="s">
        <v>161</v>
      </c>
      <c r="H355" t="s">
        <v>2591</v>
      </c>
      <c r="I355" t="s">
        <v>2592</v>
      </c>
      <c r="J355" t="s">
        <v>2593</v>
      </c>
      <c r="M355" t="s">
        <v>161</v>
      </c>
      <c r="N355" s="54">
        <v>45898.711817129632</v>
      </c>
      <c r="O355" s="54"/>
      <c r="P355" s="54"/>
      <c r="Q355" t="s">
        <v>2613</v>
      </c>
      <c r="R355" t="s">
        <v>161</v>
      </c>
    </row>
    <row r="356" spans="1:18" x14ac:dyDescent="0.3">
      <c r="A356" t="s">
        <v>884</v>
      </c>
      <c r="B356" t="s">
        <v>3094</v>
      </c>
      <c r="C356" t="s">
        <v>2578</v>
      </c>
      <c r="D356" t="s">
        <v>2610</v>
      </c>
      <c r="E356" t="s">
        <v>3097</v>
      </c>
      <c r="F356" t="s">
        <v>2590</v>
      </c>
      <c r="G356" t="s">
        <v>161</v>
      </c>
      <c r="H356" t="s">
        <v>2591</v>
      </c>
      <c r="I356" t="s">
        <v>2689</v>
      </c>
      <c r="J356" t="s">
        <v>2690</v>
      </c>
      <c r="M356" t="s">
        <v>161</v>
      </c>
      <c r="N356" s="54">
        <v>45015.734050925923</v>
      </c>
      <c r="O356" s="54"/>
      <c r="P356" s="54"/>
      <c r="Q356" t="s">
        <v>2613</v>
      </c>
      <c r="R356" t="s">
        <v>161</v>
      </c>
    </row>
    <row r="357" spans="1:18" x14ac:dyDescent="0.3">
      <c r="A357" t="s">
        <v>884</v>
      </c>
      <c r="B357" t="s">
        <v>3094</v>
      </c>
      <c r="C357" t="s">
        <v>2578</v>
      </c>
      <c r="D357" t="s">
        <v>2610</v>
      </c>
      <c r="E357" t="s">
        <v>3098</v>
      </c>
      <c r="F357" t="s">
        <v>2590</v>
      </c>
      <c r="G357" t="s">
        <v>161</v>
      </c>
      <c r="H357" t="s">
        <v>2591</v>
      </c>
      <c r="I357" t="s">
        <v>2689</v>
      </c>
      <c r="J357" t="s">
        <v>2690</v>
      </c>
      <c r="M357" t="s">
        <v>161</v>
      </c>
      <c r="N357" s="54">
        <v>45015.734259259261</v>
      </c>
      <c r="O357" s="54"/>
      <c r="P357" s="54"/>
      <c r="Q357" t="s">
        <v>2613</v>
      </c>
      <c r="R357" t="s">
        <v>161</v>
      </c>
    </row>
    <row r="358" spans="1:18" x14ac:dyDescent="0.3">
      <c r="A358" t="s">
        <v>884</v>
      </c>
      <c r="B358" t="s">
        <v>2588</v>
      </c>
      <c r="C358" t="s">
        <v>2578</v>
      </c>
      <c r="D358" t="s">
        <v>2610</v>
      </c>
      <c r="E358" t="s">
        <v>3099</v>
      </c>
      <c r="F358" t="s">
        <v>2590</v>
      </c>
      <c r="G358" t="s">
        <v>161</v>
      </c>
      <c r="H358" t="s">
        <v>2591</v>
      </c>
      <c r="I358" t="s">
        <v>2592</v>
      </c>
      <c r="J358" t="s">
        <v>2593</v>
      </c>
      <c r="M358" t="s">
        <v>161</v>
      </c>
      <c r="N358" s="54">
        <v>45010.720243055555</v>
      </c>
      <c r="O358" s="54"/>
      <c r="P358" s="54"/>
      <c r="Q358" t="s">
        <v>2613</v>
      </c>
      <c r="R358" t="s">
        <v>161</v>
      </c>
    </row>
    <row r="359" spans="1:18" x14ac:dyDescent="0.3">
      <c r="A359" t="s">
        <v>884</v>
      </c>
      <c r="B359" t="s">
        <v>2588</v>
      </c>
      <c r="C359" t="s">
        <v>2578</v>
      </c>
      <c r="D359" t="s">
        <v>2610</v>
      </c>
      <c r="E359" t="s">
        <v>3100</v>
      </c>
      <c r="F359" t="s">
        <v>2590</v>
      </c>
      <c r="G359" t="s">
        <v>161</v>
      </c>
      <c r="H359" t="s">
        <v>2591</v>
      </c>
      <c r="I359" t="s">
        <v>2689</v>
      </c>
      <c r="J359" t="s">
        <v>2690</v>
      </c>
      <c r="M359" t="s">
        <v>161</v>
      </c>
      <c r="N359" s="54">
        <v>45015.733611111114</v>
      </c>
      <c r="O359" s="54"/>
      <c r="P359" s="54"/>
      <c r="Q359" t="s">
        <v>2613</v>
      </c>
      <c r="R359" t="s">
        <v>161</v>
      </c>
    </row>
    <row r="360" spans="1:18" x14ac:dyDescent="0.3">
      <c r="A360" t="s">
        <v>884</v>
      </c>
      <c r="B360" t="s">
        <v>2588</v>
      </c>
      <c r="C360" t="s">
        <v>2578</v>
      </c>
      <c r="D360" t="s">
        <v>2610</v>
      </c>
      <c r="E360" t="s">
        <v>3101</v>
      </c>
      <c r="F360" t="s">
        <v>2590</v>
      </c>
      <c r="G360" t="s">
        <v>161</v>
      </c>
      <c r="H360" t="s">
        <v>2591</v>
      </c>
      <c r="I360" t="s">
        <v>2689</v>
      </c>
      <c r="J360" t="s">
        <v>2690</v>
      </c>
      <c r="M360" t="s">
        <v>161</v>
      </c>
      <c r="N360" s="54">
        <v>45075.578599537039</v>
      </c>
      <c r="O360" s="54"/>
      <c r="P360" s="54"/>
      <c r="Q360" t="s">
        <v>2613</v>
      </c>
      <c r="R360" t="s">
        <v>161</v>
      </c>
    </row>
    <row r="361" spans="1:18" x14ac:dyDescent="0.3">
      <c r="A361" t="s">
        <v>884</v>
      </c>
      <c r="B361" t="s">
        <v>2588</v>
      </c>
      <c r="C361" t="s">
        <v>2578</v>
      </c>
      <c r="D361" t="s">
        <v>2610</v>
      </c>
      <c r="E361" t="s">
        <v>3102</v>
      </c>
      <c r="F361" t="s">
        <v>2590</v>
      </c>
      <c r="G361" t="s">
        <v>161</v>
      </c>
      <c r="H361" t="s">
        <v>2591</v>
      </c>
      <c r="I361" t="s">
        <v>2592</v>
      </c>
      <c r="J361" t="s">
        <v>2593</v>
      </c>
      <c r="M361" t="s">
        <v>161</v>
      </c>
      <c r="N361" s="54">
        <v>45010.719953703701</v>
      </c>
      <c r="O361" s="54"/>
      <c r="P361" s="54"/>
      <c r="Q361" t="s">
        <v>2613</v>
      </c>
      <c r="R361" t="s">
        <v>161</v>
      </c>
    </row>
    <row r="362" spans="1:18" x14ac:dyDescent="0.3">
      <c r="A362" t="s">
        <v>884</v>
      </c>
      <c r="B362" t="s">
        <v>2588</v>
      </c>
      <c r="C362" t="s">
        <v>2578</v>
      </c>
      <c r="D362" t="s">
        <v>2610</v>
      </c>
      <c r="E362" t="s">
        <v>3103</v>
      </c>
      <c r="F362" t="s">
        <v>2590</v>
      </c>
      <c r="G362" t="s">
        <v>161</v>
      </c>
      <c r="H362" t="s">
        <v>2591</v>
      </c>
      <c r="I362" t="s">
        <v>2689</v>
      </c>
      <c r="J362" t="s">
        <v>2690</v>
      </c>
      <c r="M362" t="s">
        <v>161</v>
      </c>
      <c r="N362" s="54">
        <v>45010.704409722224</v>
      </c>
      <c r="O362" s="54"/>
      <c r="P362" s="54"/>
      <c r="Q362" t="s">
        <v>2613</v>
      </c>
      <c r="R362" t="s">
        <v>161</v>
      </c>
    </row>
    <row r="363" spans="1:18" x14ac:dyDescent="0.3">
      <c r="A363" t="s">
        <v>884</v>
      </c>
      <c r="B363" t="s">
        <v>3104</v>
      </c>
      <c r="C363" t="s">
        <v>2578</v>
      </c>
      <c r="D363" t="s">
        <v>2610</v>
      </c>
      <c r="E363" t="s">
        <v>1548</v>
      </c>
      <c r="F363" t="s">
        <v>2735</v>
      </c>
      <c r="G363" t="s">
        <v>161</v>
      </c>
      <c r="H363" t="s">
        <v>2703</v>
      </c>
      <c r="I363" t="s">
        <v>2884</v>
      </c>
      <c r="J363" t="s">
        <v>2885</v>
      </c>
      <c r="M363" t="s">
        <v>161</v>
      </c>
      <c r="N363" s="54">
        <v>45010.667060185187</v>
      </c>
      <c r="O363" s="54"/>
      <c r="P363" s="54"/>
      <c r="Q363" t="s">
        <v>2613</v>
      </c>
      <c r="R363" t="s">
        <v>161</v>
      </c>
    </row>
    <row r="364" spans="1:18" x14ac:dyDescent="0.3">
      <c r="A364" t="s">
        <v>884</v>
      </c>
      <c r="B364" t="s">
        <v>3105</v>
      </c>
      <c r="C364" t="s">
        <v>2578</v>
      </c>
      <c r="D364" t="s">
        <v>2610</v>
      </c>
      <c r="E364" t="s">
        <v>3106</v>
      </c>
      <c r="F364" t="s">
        <v>2590</v>
      </c>
      <c r="G364" t="s">
        <v>161</v>
      </c>
      <c r="H364" t="s">
        <v>2603</v>
      </c>
      <c r="I364" t="s">
        <v>2603</v>
      </c>
      <c r="J364" t="s">
        <v>2612</v>
      </c>
      <c r="M364" t="s">
        <v>161</v>
      </c>
      <c r="N364" s="54">
        <v>45028.765648148146</v>
      </c>
      <c r="O364" s="54"/>
      <c r="P364" s="54"/>
      <c r="Q364" t="s">
        <v>2613</v>
      </c>
      <c r="R364" t="s">
        <v>161</v>
      </c>
    </row>
    <row r="365" spans="1:18" x14ac:dyDescent="0.3">
      <c r="A365" t="s">
        <v>884</v>
      </c>
      <c r="B365" t="s">
        <v>3107</v>
      </c>
      <c r="C365" t="s">
        <v>2578</v>
      </c>
      <c r="D365" t="s">
        <v>2610</v>
      </c>
      <c r="E365" t="s">
        <v>3108</v>
      </c>
      <c r="F365" t="s">
        <v>2590</v>
      </c>
      <c r="G365" t="s">
        <v>161</v>
      </c>
      <c r="H365" t="s">
        <v>2603</v>
      </c>
      <c r="I365" t="s">
        <v>2603</v>
      </c>
      <c r="J365" t="s">
        <v>2612</v>
      </c>
      <c r="M365" t="s">
        <v>161</v>
      </c>
      <c r="N365" s="54">
        <v>45531.66946759259</v>
      </c>
      <c r="O365" s="54"/>
      <c r="P365" s="54"/>
      <c r="Q365" t="s">
        <v>2613</v>
      </c>
      <c r="R365" t="s">
        <v>161</v>
      </c>
    </row>
    <row r="366" spans="1:18" x14ac:dyDescent="0.3">
      <c r="A366" t="s">
        <v>884</v>
      </c>
      <c r="B366" t="s">
        <v>3107</v>
      </c>
      <c r="C366" t="s">
        <v>2578</v>
      </c>
      <c r="D366" t="s">
        <v>2610</v>
      </c>
      <c r="E366" t="s">
        <v>3109</v>
      </c>
      <c r="F366" t="s">
        <v>2590</v>
      </c>
      <c r="G366" t="s">
        <v>161</v>
      </c>
      <c r="H366" t="s">
        <v>2603</v>
      </c>
      <c r="I366" t="s">
        <v>2603</v>
      </c>
      <c r="J366" t="s">
        <v>2612</v>
      </c>
      <c r="M366" t="s">
        <v>161</v>
      </c>
      <c r="N366" s="54">
        <v>45028.722094907411</v>
      </c>
      <c r="O366" s="54"/>
      <c r="P366" s="54"/>
      <c r="Q366" t="s">
        <v>2613</v>
      </c>
      <c r="R366" t="s">
        <v>161</v>
      </c>
    </row>
    <row r="367" spans="1:18" x14ac:dyDescent="0.3">
      <c r="A367" t="s">
        <v>884</v>
      </c>
      <c r="B367" t="s">
        <v>3107</v>
      </c>
      <c r="C367" t="s">
        <v>2578</v>
      </c>
      <c r="D367" t="s">
        <v>2610</v>
      </c>
      <c r="E367" t="s">
        <v>3110</v>
      </c>
      <c r="F367" t="s">
        <v>2590</v>
      </c>
      <c r="G367" t="s">
        <v>161</v>
      </c>
      <c r="H367" t="s">
        <v>2603</v>
      </c>
      <c r="I367" t="s">
        <v>2603</v>
      </c>
      <c r="J367" t="s">
        <v>2612</v>
      </c>
      <c r="M367" t="s">
        <v>161</v>
      </c>
      <c r="N367" s="54">
        <v>45028.721712962964</v>
      </c>
      <c r="O367" s="54"/>
      <c r="P367" s="54"/>
      <c r="Q367" t="s">
        <v>2613</v>
      </c>
      <c r="R367" t="s">
        <v>161</v>
      </c>
    </row>
    <row r="368" spans="1:18" x14ac:dyDescent="0.3">
      <c r="A368" t="s">
        <v>884</v>
      </c>
      <c r="B368" t="s">
        <v>3107</v>
      </c>
      <c r="C368" t="s">
        <v>2578</v>
      </c>
      <c r="D368" t="s">
        <v>2610</v>
      </c>
      <c r="E368" t="s">
        <v>3111</v>
      </c>
      <c r="F368" t="s">
        <v>2590</v>
      </c>
      <c r="G368" t="s">
        <v>161</v>
      </c>
      <c r="H368" t="s">
        <v>2603</v>
      </c>
      <c r="I368" t="s">
        <v>2603</v>
      </c>
      <c r="J368" t="s">
        <v>2612</v>
      </c>
      <c r="M368" t="s">
        <v>161</v>
      </c>
      <c r="N368" s="54">
        <v>45028.721851851849</v>
      </c>
      <c r="O368" s="54"/>
      <c r="P368" s="54"/>
      <c r="Q368" t="s">
        <v>2613</v>
      </c>
      <c r="R368" t="s">
        <v>161</v>
      </c>
    </row>
    <row r="369" spans="1:18" x14ac:dyDescent="0.3">
      <c r="A369" t="s">
        <v>884</v>
      </c>
      <c r="B369" t="s">
        <v>3107</v>
      </c>
      <c r="C369" t="s">
        <v>2578</v>
      </c>
      <c r="D369" t="s">
        <v>2610</v>
      </c>
      <c r="E369" t="s">
        <v>3112</v>
      </c>
      <c r="F369" t="s">
        <v>2590</v>
      </c>
      <c r="G369" t="s">
        <v>161</v>
      </c>
      <c r="H369" t="s">
        <v>2603</v>
      </c>
      <c r="I369" t="s">
        <v>2603</v>
      </c>
      <c r="J369" t="s">
        <v>2612</v>
      </c>
      <c r="M369" t="s">
        <v>161</v>
      </c>
      <c r="N369" s="54">
        <v>45028.718912037039</v>
      </c>
      <c r="O369" s="54"/>
      <c r="P369" s="54"/>
      <c r="Q369" t="s">
        <v>2613</v>
      </c>
      <c r="R369" t="s">
        <v>161</v>
      </c>
    </row>
    <row r="370" spans="1:18" x14ac:dyDescent="0.3">
      <c r="A370" t="s">
        <v>884</v>
      </c>
      <c r="B370" t="s">
        <v>3107</v>
      </c>
      <c r="C370" t="s">
        <v>2578</v>
      </c>
      <c r="D370" t="s">
        <v>2610</v>
      </c>
      <c r="E370" t="s">
        <v>3113</v>
      </c>
      <c r="F370" t="s">
        <v>2590</v>
      </c>
      <c r="G370" t="s">
        <v>161</v>
      </c>
      <c r="H370" t="s">
        <v>2603</v>
      </c>
      <c r="I370" t="s">
        <v>2603</v>
      </c>
      <c r="J370" t="s">
        <v>2612</v>
      </c>
      <c r="M370" t="s">
        <v>161</v>
      </c>
      <c r="N370" s="54">
        <v>45028.719050925924</v>
      </c>
      <c r="O370" s="54"/>
      <c r="P370" s="54"/>
      <c r="Q370" t="s">
        <v>2613</v>
      </c>
      <c r="R370" t="s">
        <v>161</v>
      </c>
    </row>
    <row r="371" spans="1:18" x14ac:dyDescent="0.3">
      <c r="A371" t="s">
        <v>884</v>
      </c>
      <c r="B371" t="s">
        <v>3107</v>
      </c>
      <c r="C371" t="s">
        <v>2578</v>
      </c>
      <c r="D371" t="s">
        <v>2610</v>
      </c>
      <c r="E371" t="s">
        <v>3114</v>
      </c>
      <c r="F371" t="s">
        <v>2590</v>
      </c>
      <c r="G371" t="s">
        <v>161</v>
      </c>
      <c r="H371" t="s">
        <v>2603</v>
      </c>
      <c r="I371" t="s">
        <v>2603</v>
      </c>
      <c r="J371" t="s">
        <v>2612</v>
      </c>
      <c r="M371" t="s">
        <v>161</v>
      </c>
      <c r="N371" s="54">
        <v>45028.720555555556</v>
      </c>
      <c r="O371" s="54"/>
      <c r="P371" s="54"/>
      <c r="Q371" t="s">
        <v>2613</v>
      </c>
      <c r="R371" t="s">
        <v>161</v>
      </c>
    </row>
    <row r="372" spans="1:18" x14ac:dyDescent="0.3">
      <c r="A372" t="s">
        <v>884</v>
      </c>
      <c r="B372" t="s">
        <v>3107</v>
      </c>
      <c r="C372" t="s">
        <v>2578</v>
      </c>
      <c r="D372" t="s">
        <v>2610</v>
      </c>
      <c r="E372" t="s">
        <v>3115</v>
      </c>
      <c r="F372" t="s">
        <v>2590</v>
      </c>
      <c r="G372" t="s">
        <v>161</v>
      </c>
      <c r="H372" t="s">
        <v>2603</v>
      </c>
      <c r="I372" t="s">
        <v>2603</v>
      </c>
      <c r="J372" t="s">
        <v>2612</v>
      </c>
      <c r="M372" t="s">
        <v>161</v>
      </c>
      <c r="N372" s="54">
        <v>45028.720694444448</v>
      </c>
      <c r="O372" s="54"/>
      <c r="P372" s="54"/>
      <c r="Q372" t="s">
        <v>2613</v>
      </c>
      <c r="R372" t="s">
        <v>161</v>
      </c>
    </row>
    <row r="373" spans="1:18" x14ac:dyDescent="0.3">
      <c r="A373" t="s">
        <v>884</v>
      </c>
      <c r="B373" t="s">
        <v>3107</v>
      </c>
      <c r="C373" t="s">
        <v>2578</v>
      </c>
      <c r="D373" t="s">
        <v>2610</v>
      </c>
      <c r="E373" t="s">
        <v>3116</v>
      </c>
      <c r="F373" t="s">
        <v>2590</v>
      </c>
      <c r="G373" t="s">
        <v>161</v>
      </c>
      <c r="H373" t="s">
        <v>2603</v>
      </c>
      <c r="I373" t="s">
        <v>2603</v>
      </c>
      <c r="J373" t="s">
        <v>2612</v>
      </c>
      <c r="M373" t="s">
        <v>161</v>
      </c>
      <c r="N373" s="54">
        <v>45028.720833333333</v>
      </c>
      <c r="O373" s="54"/>
      <c r="P373" s="54"/>
      <c r="Q373" t="s">
        <v>2613</v>
      </c>
      <c r="R373" t="s">
        <v>161</v>
      </c>
    </row>
    <row r="374" spans="1:18" x14ac:dyDescent="0.3">
      <c r="A374" t="s">
        <v>884</v>
      </c>
      <c r="B374" t="s">
        <v>3107</v>
      </c>
      <c r="C374" t="s">
        <v>2578</v>
      </c>
      <c r="D374" t="s">
        <v>2610</v>
      </c>
      <c r="E374" t="s">
        <v>3117</v>
      </c>
      <c r="F374" t="s">
        <v>2590</v>
      </c>
      <c r="G374" t="s">
        <v>161</v>
      </c>
      <c r="H374" t="s">
        <v>2603</v>
      </c>
      <c r="I374" t="s">
        <v>2603</v>
      </c>
      <c r="J374" t="s">
        <v>2612</v>
      </c>
      <c r="M374" t="s">
        <v>161</v>
      </c>
      <c r="N374" s="54">
        <v>45547.913043981483</v>
      </c>
      <c r="O374" s="54"/>
      <c r="P374" s="54"/>
      <c r="Q374" t="s">
        <v>2613</v>
      </c>
      <c r="R374" t="s">
        <v>161</v>
      </c>
    </row>
    <row r="375" spans="1:18" x14ac:dyDescent="0.3">
      <c r="A375" t="s">
        <v>884</v>
      </c>
      <c r="B375" t="s">
        <v>3107</v>
      </c>
      <c r="C375" t="s">
        <v>2578</v>
      </c>
      <c r="D375" t="s">
        <v>2610</v>
      </c>
      <c r="E375" t="s">
        <v>3118</v>
      </c>
      <c r="F375" t="s">
        <v>2590</v>
      </c>
      <c r="G375" t="s">
        <v>161</v>
      </c>
      <c r="H375" t="s">
        <v>2603</v>
      </c>
      <c r="I375" t="s">
        <v>2603</v>
      </c>
      <c r="J375" t="s">
        <v>2612</v>
      </c>
      <c r="M375" t="s">
        <v>161</v>
      </c>
      <c r="N375" s="54">
        <v>45028.721435185187</v>
      </c>
      <c r="O375" s="54"/>
      <c r="P375" s="54"/>
      <c r="Q375" t="s">
        <v>2613</v>
      </c>
      <c r="R375" t="s">
        <v>161</v>
      </c>
    </row>
    <row r="376" spans="1:18" x14ac:dyDescent="0.3">
      <c r="A376" t="s">
        <v>884</v>
      </c>
      <c r="B376" t="s">
        <v>3107</v>
      </c>
      <c r="C376" t="s">
        <v>2578</v>
      </c>
      <c r="D376" t="s">
        <v>2610</v>
      </c>
      <c r="E376" t="s">
        <v>3119</v>
      </c>
      <c r="F376" t="s">
        <v>2590</v>
      </c>
      <c r="G376" t="s">
        <v>161</v>
      </c>
      <c r="H376" t="s">
        <v>2603</v>
      </c>
      <c r="I376" t="s">
        <v>2603</v>
      </c>
      <c r="J376" t="s">
        <v>2612</v>
      </c>
      <c r="M376" t="s">
        <v>161</v>
      </c>
      <c r="N376" s="54">
        <v>45028.721574074072</v>
      </c>
      <c r="O376" s="54"/>
      <c r="P376" s="54"/>
      <c r="Q376" t="s">
        <v>2613</v>
      </c>
      <c r="R376" t="s">
        <v>161</v>
      </c>
    </row>
    <row r="377" spans="1:18" x14ac:dyDescent="0.3">
      <c r="A377" t="s">
        <v>884</v>
      </c>
      <c r="B377" t="s">
        <v>3107</v>
      </c>
      <c r="C377" t="s">
        <v>2578</v>
      </c>
      <c r="D377" t="s">
        <v>2610</v>
      </c>
      <c r="E377" t="s">
        <v>3120</v>
      </c>
      <c r="F377" t="s">
        <v>2590</v>
      </c>
      <c r="G377" t="s">
        <v>161</v>
      </c>
      <c r="H377" t="s">
        <v>2603</v>
      </c>
      <c r="I377" t="s">
        <v>2603</v>
      </c>
      <c r="J377" t="s">
        <v>2612</v>
      </c>
      <c r="M377" t="s">
        <v>161</v>
      </c>
      <c r="N377" s="54">
        <v>45028.720277777778</v>
      </c>
      <c r="O377" s="54"/>
      <c r="P377" s="54"/>
      <c r="Q377" t="s">
        <v>2613</v>
      </c>
      <c r="R377" t="s">
        <v>161</v>
      </c>
    </row>
    <row r="378" spans="1:18" x14ac:dyDescent="0.3">
      <c r="A378" t="s">
        <v>884</v>
      </c>
      <c r="B378" t="s">
        <v>3107</v>
      </c>
      <c r="C378" t="s">
        <v>2578</v>
      </c>
      <c r="D378" t="s">
        <v>2610</v>
      </c>
      <c r="E378" t="s">
        <v>3121</v>
      </c>
      <c r="F378" t="s">
        <v>2590</v>
      </c>
      <c r="G378" t="s">
        <v>161</v>
      </c>
      <c r="H378" t="s">
        <v>2603</v>
      </c>
      <c r="I378" t="s">
        <v>2603</v>
      </c>
      <c r="J378" t="s">
        <v>2612</v>
      </c>
      <c r="M378" t="s">
        <v>161</v>
      </c>
      <c r="N378" s="54">
        <v>45028.720381944448</v>
      </c>
      <c r="O378" s="54"/>
      <c r="P378" s="54"/>
      <c r="Q378" t="s">
        <v>2613</v>
      </c>
      <c r="R378" t="s">
        <v>161</v>
      </c>
    </row>
    <row r="379" spans="1:18" x14ac:dyDescent="0.3">
      <c r="A379" t="s">
        <v>884</v>
      </c>
      <c r="B379" t="s">
        <v>3107</v>
      </c>
      <c r="C379" t="s">
        <v>2578</v>
      </c>
      <c r="D379" t="s">
        <v>2610</v>
      </c>
      <c r="E379" t="s">
        <v>3122</v>
      </c>
      <c r="F379" t="s">
        <v>2590</v>
      </c>
      <c r="G379" t="s">
        <v>161</v>
      </c>
      <c r="H379" t="s">
        <v>2603</v>
      </c>
      <c r="I379" t="s">
        <v>2603</v>
      </c>
      <c r="J379" t="s">
        <v>2612</v>
      </c>
      <c r="M379" t="s">
        <v>161</v>
      </c>
      <c r="N379" s="54">
        <v>45028.72115740741</v>
      </c>
      <c r="O379" s="54"/>
      <c r="P379" s="54"/>
      <c r="Q379" t="s">
        <v>2613</v>
      </c>
      <c r="R379" t="s">
        <v>161</v>
      </c>
    </row>
    <row r="380" spans="1:18" x14ac:dyDescent="0.3">
      <c r="A380" t="s">
        <v>884</v>
      </c>
      <c r="B380" t="s">
        <v>3107</v>
      </c>
      <c r="C380" t="s">
        <v>2578</v>
      </c>
      <c r="D380" t="s">
        <v>2610</v>
      </c>
      <c r="E380" t="s">
        <v>3123</v>
      </c>
      <c r="F380" t="s">
        <v>2590</v>
      </c>
      <c r="G380" t="s">
        <v>161</v>
      </c>
      <c r="H380" t="s">
        <v>2603</v>
      </c>
      <c r="I380" t="s">
        <v>2603</v>
      </c>
      <c r="J380" t="s">
        <v>2612</v>
      </c>
      <c r="M380" t="s">
        <v>161</v>
      </c>
      <c r="N380" s="54">
        <v>45028.721284722225</v>
      </c>
      <c r="O380" s="54"/>
      <c r="P380" s="54"/>
      <c r="Q380" t="s">
        <v>2613</v>
      </c>
      <c r="R380" t="s">
        <v>161</v>
      </c>
    </row>
    <row r="381" spans="1:18" x14ac:dyDescent="0.3">
      <c r="A381" t="s">
        <v>884</v>
      </c>
      <c r="B381" t="s">
        <v>3107</v>
      </c>
      <c r="C381" t="s">
        <v>2578</v>
      </c>
      <c r="D381" t="s">
        <v>2610</v>
      </c>
      <c r="E381" t="s">
        <v>3124</v>
      </c>
      <c r="F381" t="s">
        <v>2590</v>
      </c>
      <c r="G381" t="s">
        <v>161</v>
      </c>
      <c r="H381" t="s">
        <v>2603</v>
      </c>
      <c r="I381" t="s">
        <v>2603</v>
      </c>
      <c r="J381" t="s">
        <v>2612</v>
      </c>
      <c r="M381" t="s">
        <v>161</v>
      </c>
      <c r="N381" s="54">
        <v>45028.722557870373</v>
      </c>
      <c r="O381" s="54"/>
      <c r="P381" s="54"/>
      <c r="Q381" t="s">
        <v>2613</v>
      </c>
      <c r="R381" t="s">
        <v>161</v>
      </c>
    </row>
    <row r="382" spans="1:18" x14ac:dyDescent="0.3">
      <c r="A382" t="s">
        <v>884</v>
      </c>
      <c r="B382" t="s">
        <v>3107</v>
      </c>
      <c r="C382" t="s">
        <v>2578</v>
      </c>
      <c r="D382" t="s">
        <v>2610</v>
      </c>
      <c r="E382" t="s">
        <v>3125</v>
      </c>
      <c r="F382" t="s">
        <v>2590</v>
      </c>
      <c r="G382" t="s">
        <v>161</v>
      </c>
      <c r="H382" t="s">
        <v>2603</v>
      </c>
      <c r="I382" t="s">
        <v>2603</v>
      </c>
      <c r="J382" t="s">
        <v>2612</v>
      </c>
      <c r="M382" t="s">
        <v>161</v>
      </c>
      <c r="N382" s="54">
        <v>45028.722708333335</v>
      </c>
      <c r="O382" s="54"/>
      <c r="P382" s="54"/>
      <c r="Q382" t="s">
        <v>2613</v>
      </c>
      <c r="R382" t="s">
        <v>161</v>
      </c>
    </row>
    <row r="383" spans="1:18" x14ac:dyDescent="0.3">
      <c r="A383" t="s">
        <v>884</v>
      </c>
      <c r="B383" t="s">
        <v>3107</v>
      </c>
      <c r="C383" t="s">
        <v>2578</v>
      </c>
      <c r="D383" t="s">
        <v>2610</v>
      </c>
      <c r="E383" t="s">
        <v>3126</v>
      </c>
      <c r="F383" t="s">
        <v>2590</v>
      </c>
      <c r="G383" t="s">
        <v>161</v>
      </c>
      <c r="H383" t="s">
        <v>2603</v>
      </c>
      <c r="I383" t="s">
        <v>2603</v>
      </c>
      <c r="J383" t="s">
        <v>2612</v>
      </c>
      <c r="M383" t="s">
        <v>161</v>
      </c>
      <c r="N383" s="54">
        <v>45028.722858796296</v>
      </c>
      <c r="O383" s="54"/>
      <c r="P383" s="54"/>
      <c r="Q383" t="s">
        <v>2613</v>
      </c>
      <c r="R383" t="s">
        <v>161</v>
      </c>
    </row>
    <row r="384" spans="1:18" x14ac:dyDescent="0.3">
      <c r="A384" t="s">
        <v>884</v>
      </c>
      <c r="B384" t="s">
        <v>3107</v>
      </c>
      <c r="C384" t="s">
        <v>2578</v>
      </c>
      <c r="D384" t="s">
        <v>2610</v>
      </c>
      <c r="E384" t="s">
        <v>3127</v>
      </c>
      <c r="F384" t="s">
        <v>2590</v>
      </c>
      <c r="G384" t="s">
        <v>161</v>
      </c>
      <c r="H384" t="s">
        <v>2603</v>
      </c>
      <c r="I384" t="s">
        <v>2603</v>
      </c>
      <c r="J384" t="s">
        <v>2612</v>
      </c>
      <c r="M384" t="s">
        <v>161</v>
      </c>
      <c r="N384" s="54">
        <v>45028.722962962966</v>
      </c>
      <c r="O384" s="54"/>
      <c r="P384" s="54"/>
      <c r="Q384" t="s">
        <v>2613</v>
      </c>
      <c r="R384" t="s">
        <v>161</v>
      </c>
    </row>
    <row r="385" spans="1:18" x14ac:dyDescent="0.3">
      <c r="A385" t="s">
        <v>884</v>
      </c>
      <c r="B385" t="s">
        <v>3107</v>
      </c>
      <c r="C385" t="s">
        <v>2578</v>
      </c>
      <c r="D385" t="s">
        <v>2610</v>
      </c>
      <c r="E385" t="s">
        <v>3128</v>
      </c>
      <c r="F385" t="s">
        <v>2590</v>
      </c>
      <c r="G385" t="s">
        <v>161</v>
      </c>
      <c r="H385" t="s">
        <v>2603</v>
      </c>
      <c r="I385" t="s">
        <v>2603</v>
      </c>
      <c r="J385" t="s">
        <v>2612</v>
      </c>
      <c r="M385" t="s">
        <v>161</v>
      </c>
      <c r="N385" s="54">
        <v>45028.722233796296</v>
      </c>
      <c r="O385" s="54"/>
      <c r="P385" s="54"/>
      <c r="Q385" t="s">
        <v>2613</v>
      </c>
      <c r="R385" t="s">
        <v>161</v>
      </c>
    </row>
    <row r="386" spans="1:18" x14ac:dyDescent="0.3">
      <c r="A386" t="s">
        <v>884</v>
      </c>
      <c r="B386" t="s">
        <v>3107</v>
      </c>
      <c r="C386" t="s">
        <v>2578</v>
      </c>
      <c r="D386" t="s">
        <v>2610</v>
      </c>
      <c r="E386" t="s">
        <v>3129</v>
      </c>
      <c r="F386" t="s">
        <v>2590</v>
      </c>
      <c r="G386" t="s">
        <v>161</v>
      </c>
      <c r="H386" t="s">
        <v>2603</v>
      </c>
      <c r="I386" t="s">
        <v>2603</v>
      </c>
      <c r="J386" t="s">
        <v>2612</v>
      </c>
      <c r="M386" t="s">
        <v>161</v>
      </c>
      <c r="N386" s="54">
        <v>45028.722395833334</v>
      </c>
      <c r="O386" s="54"/>
      <c r="P386" s="54"/>
      <c r="Q386" t="s">
        <v>2613</v>
      </c>
      <c r="R386" t="s">
        <v>161</v>
      </c>
    </row>
    <row r="387" spans="1:18" x14ac:dyDescent="0.3">
      <c r="A387" t="s">
        <v>884</v>
      </c>
      <c r="B387" t="s">
        <v>3130</v>
      </c>
      <c r="C387" t="s">
        <v>2578</v>
      </c>
      <c r="D387" t="s">
        <v>2610</v>
      </c>
      <c r="E387" t="s">
        <v>3131</v>
      </c>
      <c r="F387" t="s">
        <v>2590</v>
      </c>
      <c r="G387" t="s">
        <v>161</v>
      </c>
      <c r="H387" t="s">
        <v>2603</v>
      </c>
      <c r="I387" t="s">
        <v>2603</v>
      </c>
      <c r="J387" t="s">
        <v>2612</v>
      </c>
      <c r="M387" t="s">
        <v>161</v>
      </c>
      <c r="N387" s="54">
        <v>45028.716574074075</v>
      </c>
      <c r="O387" s="54"/>
      <c r="P387" s="54"/>
      <c r="Q387" t="s">
        <v>2613</v>
      </c>
      <c r="R387" t="s">
        <v>161</v>
      </c>
    </row>
    <row r="388" spans="1:18" x14ac:dyDescent="0.3">
      <c r="A388" t="s">
        <v>884</v>
      </c>
      <c r="B388" t="s">
        <v>3130</v>
      </c>
      <c r="C388" t="s">
        <v>2578</v>
      </c>
      <c r="D388" t="s">
        <v>2610</v>
      </c>
      <c r="E388" t="s">
        <v>3132</v>
      </c>
      <c r="F388" t="s">
        <v>2590</v>
      </c>
      <c r="G388" t="s">
        <v>161</v>
      </c>
      <c r="H388" t="s">
        <v>2603</v>
      </c>
      <c r="I388" t="s">
        <v>2603</v>
      </c>
      <c r="J388" t="s">
        <v>2612</v>
      </c>
      <c r="M388" t="s">
        <v>161</v>
      </c>
      <c r="N388" s="54">
        <v>45028.71670138889</v>
      </c>
      <c r="O388" s="54"/>
      <c r="P388" s="54"/>
      <c r="Q388" t="s">
        <v>2613</v>
      </c>
      <c r="R388" t="s">
        <v>161</v>
      </c>
    </row>
    <row r="389" spans="1:18" x14ac:dyDescent="0.3">
      <c r="A389" t="s">
        <v>884</v>
      </c>
      <c r="B389" t="s">
        <v>2605</v>
      </c>
      <c r="C389" t="s">
        <v>2578</v>
      </c>
      <c r="D389" t="s">
        <v>2610</v>
      </c>
      <c r="E389" t="s">
        <v>3133</v>
      </c>
      <c r="F389" t="s">
        <v>2581</v>
      </c>
      <c r="G389" t="s">
        <v>161</v>
      </c>
      <c r="H389" t="s">
        <v>2583</v>
      </c>
      <c r="I389" t="s">
        <v>2584</v>
      </c>
      <c r="J389" t="s">
        <v>2585</v>
      </c>
      <c r="M389" t="s">
        <v>161</v>
      </c>
      <c r="N389" s="54">
        <v>45877.673252314817</v>
      </c>
      <c r="O389" s="54"/>
      <c r="P389" s="54"/>
      <c r="Q389" t="s">
        <v>2613</v>
      </c>
      <c r="R389" t="s">
        <v>161</v>
      </c>
    </row>
    <row r="390" spans="1:18" x14ac:dyDescent="0.3">
      <c r="A390" t="s">
        <v>884</v>
      </c>
      <c r="B390" t="s">
        <v>3134</v>
      </c>
      <c r="C390" t="s">
        <v>2578</v>
      </c>
      <c r="D390" t="s">
        <v>2610</v>
      </c>
      <c r="E390" t="s">
        <v>3135</v>
      </c>
      <c r="F390" t="s">
        <v>2735</v>
      </c>
      <c r="G390" t="s">
        <v>161</v>
      </c>
      <c r="H390" t="s">
        <v>2703</v>
      </c>
      <c r="I390" t="s">
        <v>2731</v>
      </c>
      <c r="J390" t="s">
        <v>2732</v>
      </c>
      <c r="M390" t="s">
        <v>161</v>
      </c>
      <c r="N390" s="54">
        <v>45015</v>
      </c>
      <c r="O390" s="54"/>
      <c r="P390" s="54"/>
      <c r="Q390" t="s">
        <v>2613</v>
      </c>
      <c r="R390" t="s">
        <v>161</v>
      </c>
    </row>
    <row r="391" spans="1:18" x14ac:dyDescent="0.3">
      <c r="A391" t="s">
        <v>884</v>
      </c>
      <c r="B391" t="s">
        <v>3136</v>
      </c>
      <c r="C391" t="s">
        <v>2578</v>
      </c>
      <c r="D391" t="s">
        <v>2610</v>
      </c>
      <c r="E391" t="s">
        <v>3137</v>
      </c>
      <c r="F391" t="s">
        <v>2590</v>
      </c>
      <c r="G391" t="s">
        <v>161</v>
      </c>
      <c r="H391" t="s">
        <v>2591</v>
      </c>
      <c r="I391" t="s">
        <v>2689</v>
      </c>
      <c r="J391" t="s">
        <v>2690</v>
      </c>
      <c r="M391" t="s">
        <v>161</v>
      </c>
      <c r="N391" s="54">
        <v>45030.437685185185</v>
      </c>
      <c r="O391" s="54"/>
      <c r="P391" s="54"/>
      <c r="Q391" t="s">
        <v>2613</v>
      </c>
      <c r="R391" t="s">
        <v>161</v>
      </c>
    </row>
    <row r="392" spans="1:18" x14ac:dyDescent="0.3">
      <c r="A392" t="s">
        <v>884</v>
      </c>
      <c r="B392" t="s">
        <v>3136</v>
      </c>
      <c r="C392" t="s">
        <v>2578</v>
      </c>
      <c r="D392" t="s">
        <v>2610</v>
      </c>
      <c r="E392" t="s">
        <v>3138</v>
      </c>
      <c r="F392" t="s">
        <v>2590</v>
      </c>
      <c r="G392" t="s">
        <v>161</v>
      </c>
      <c r="H392" t="s">
        <v>2591</v>
      </c>
      <c r="I392" t="s">
        <v>2689</v>
      </c>
      <c r="J392" t="s">
        <v>2690</v>
      </c>
      <c r="M392" t="s">
        <v>161</v>
      </c>
      <c r="N392" s="54">
        <v>45030.437951388885</v>
      </c>
      <c r="O392" s="54"/>
      <c r="P392" s="54"/>
      <c r="Q392" t="s">
        <v>2613</v>
      </c>
      <c r="R392" t="s">
        <v>161</v>
      </c>
    </row>
    <row r="393" spans="1:18" x14ac:dyDescent="0.3">
      <c r="A393" t="s">
        <v>884</v>
      </c>
      <c r="B393" t="s">
        <v>3139</v>
      </c>
      <c r="C393" t="s">
        <v>2578</v>
      </c>
      <c r="D393" t="s">
        <v>2610</v>
      </c>
      <c r="E393" t="s">
        <v>3140</v>
      </c>
      <c r="F393" t="s">
        <v>2590</v>
      </c>
      <c r="G393" t="s">
        <v>161</v>
      </c>
      <c r="H393" t="s">
        <v>2603</v>
      </c>
      <c r="I393" t="s">
        <v>2603</v>
      </c>
      <c r="J393" t="s">
        <v>2741</v>
      </c>
      <c r="M393" t="s">
        <v>161</v>
      </c>
      <c r="N393" s="54">
        <v>45010.814849537041</v>
      </c>
      <c r="O393" s="54"/>
      <c r="P393" s="54"/>
      <c r="Q393" t="s">
        <v>2613</v>
      </c>
      <c r="R393" t="s">
        <v>161</v>
      </c>
    </row>
    <row r="394" spans="1:18" x14ac:dyDescent="0.3">
      <c r="A394" t="s">
        <v>884</v>
      </c>
      <c r="B394" t="s">
        <v>3139</v>
      </c>
      <c r="C394" t="s">
        <v>2578</v>
      </c>
      <c r="D394" t="s">
        <v>2610</v>
      </c>
      <c r="E394" t="s">
        <v>3141</v>
      </c>
      <c r="F394" t="s">
        <v>2590</v>
      </c>
      <c r="G394" t="s">
        <v>161</v>
      </c>
      <c r="H394" t="s">
        <v>2603</v>
      </c>
      <c r="I394" t="s">
        <v>2603</v>
      </c>
      <c r="J394" t="s">
        <v>2741</v>
      </c>
      <c r="M394" t="s">
        <v>161</v>
      </c>
      <c r="N394" s="54">
        <v>45010.815069444441</v>
      </c>
      <c r="O394" s="54"/>
      <c r="P394" s="54"/>
      <c r="Q394" t="s">
        <v>2613</v>
      </c>
      <c r="R394" t="s">
        <v>161</v>
      </c>
    </row>
    <row r="395" spans="1:18" x14ac:dyDescent="0.3">
      <c r="A395" t="s">
        <v>884</v>
      </c>
      <c r="B395" t="s">
        <v>3139</v>
      </c>
      <c r="C395" t="s">
        <v>2578</v>
      </c>
      <c r="D395" t="s">
        <v>2610</v>
      </c>
      <c r="E395" t="s">
        <v>3142</v>
      </c>
      <c r="F395" t="s">
        <v>2590</v>
      </c>
      <c r="G395" t="s">
        <v>161</v>
      </c>
      <c r="H395" t="s">
        <v>2603</v>
      </c>
      <c r="I395" t="s">
        <v>2603</v>
      </c>
      <c r="J395" t="s">
        <v>2741</v>
      </c>
      <c r="M395" t="s">
        <v>161</v>
      </c>
      <c r="N395" s="54">
        <v>45010.815243055556</v>
      </c>
      <c r="O395" s="54"/>
      <c r="P395" s="54"/>
      <c r="Q395" t="s">
        <v>2613</v>
      </c>
      <c r="R395" t="s">
        <v>161</v>
      </c>
    </row>
    <row r="396" spans="1:18" x14ac:dyDescent="0.3">
      <c r="A396" t="s">
        <v>884</v>
      </c>
      <c r="B396" t="s">
        <v>3143</v>
      </c>
      <c r="C396" t="s">
        <v>2578</v>
      </c>
      <c r="D396" t="s">
        <v>2610</v>
      </c>
      <c r="E396" t="s">
        <v>3144</v>
      </c>
      <c r="F396" t="s">
        <v>2590</v>
      </c>
      <c r="G396" t="s">
        <v>161</v>
      </c>
      <c r="H396" t="s">
        <v>2603</v>
      </c>
      <c r="I396" t="s">
        <v>2603</v>
      </c>
      <c r="J396" t="s">
        <v>2741</v>
      </c>
      <c r="M396" t="s">
        <v>161</v>
      </c>
      <c r="N396" s="54">
        <v>45010.815995370373</v>
      </c>
      <c r="O396" s="54"/>
      <c r="P396" s="54"/>
      <c r="Q396" t="s">
        <v>2613</v>
      </c>
      <c r="R396" t="s">
        <v>161</v>
      </c>
    </row>
    <row r="397" spans="1:18" x14ac:dyDescent="0.3">
      <c r="A397" t="s">
        <v>884</v>
      </c>
      <c r="B397" t="s">
        <v>3143</v>
      </c>
      <c r="C397" t="s">
        <v>2578</v>
      </c>
      <c r="D397" t="s">
        <v>2610</v>
      </c>
      <c r="E397" t="s">
        <v>3145</v>
      </c>
      <c r="F397" t="s">
        <v>2590</v>
      </c>
      <c r="G397" t="s">
        <v>161</v>
      </c>
      <c r="H397" t="s">
        <v>2603</v>
      </c>
      <c r="I397" t="s">
        <v>2603</v>
      </c>
      <c r="J397" t="s">
        <v>2741</v>
      </c>
      <c r="M397" t="s">
        <v>161</v>
      </c>
      <c r="N397" s="54">
        <v>45010.816157407404</v>
      </c>
      <c r="O397" s="54"/>
      <c r="P397" s="54"/>
      <c r="Q397" t="s">
        <v>2613</v>
      </c>
      <c r="R397" t="s">
        <v>161</v>
      </c>
    </row>
    <row r="398" spans="1:18" x14ac:dyDescent="0.3">
      <c r="A398" t="s">
        <v>884</v>
      </c>
      <c r="B398" t="s">
        <v>3143</v>
      </c>
      <c r="C398" t="s">
        <v>2578</v>
      </c>
      <c r="D398" t="s">
        <v>2610</v>
      </c>
      <c r="E398" t="s">
        <v>3146</v>
      </c>
      <c r="F398" t="s">
        <v>2590</v>
      </c>
      <c r="G398" t="s">
        <v>161</v>
      </c>
      <c r="H398" t="s">
        <v>2603</v>
      </c>
      <c r="I398" t="s">
        <v>2603</v>
      </c>
      <c r="J398" t="s">
        <v>2741</v>
      </c>
      <c r="M398" t="s">
        <v>161</v>
      </c>
      <c r="N398" s="54">
        <v>45010.816319444442</v>
      </c>
      <c r="O398" s="54"/>
      <c r="P398" s="54"/>
      <c r="Q398" t="s">
        <v>2613</v>
      </c>
      <c r="R398" t="s">
        <v>161</v>
      </c>
    </row>
    <row r="399" spans="1:18" x14ac:dyDescent="0.3">
      <c r="A399" t="s">
        <v>884</v>
      </c>
      <c r="B399" t="s">
        <v>3143</v>
      </c>
      <c r="C399" t="s">
        <v>2578</v>
      </c>
      <c r="D399" t="s">
        <v>2610</v>
      </c>
      <c r="E399" t="s">
        <v>3147</v>
      </c>
      <c r="F399" t="s">
        <v>2590</v>
      </c>
      <c r="G399" t="s">
        <v>161</v>
      </c>
      <c r="H399" t="s">
        <v>2603</v>
      </c>
      <c r="I399" t="s">
        <v>2603</v>
      </c>
      <c r="J399" t="s">
        <v>2741</v>
      </c>
      <c r="M399" t="s">
        <v>161</v>
      </c>
      <c r="N399" s="54">
        <v>45010.816504629627</v>
      </c>
      <c r="O399" s="54"/>
      <c r="P399" s="54"/>
      <c r="Q399" t="s">
        <v>2613</v>
      </c>
      <c r="R399" t="s">
        <v>161</v>
      </c>
    </row>
    <row r="400" spans="1:18" x14ac:dyDescent="0.3">
      <c r="A400" t="s">
        <v>884</v>
      </c>
      <c r="B400" t="s">
        <v>3143</v>
      </c>
      <c r="C400" t="s">
        <v>2578</v>
      </c>
      <c r="D400" t="s">
        <v>2610</v>
      </c>
      <c r="E400" t="s">
        <v>3148</v>
      </c>
      <c r="F400" t="s">
        <v>2590</v>
      </c>
      <c r="G400" t="s">
        <v>161</v>
      </c>
      <c r="H400" t="s">
        <v>2603</v>
      </c>
      <c r="I400" t="s">
        <v>2603</v>
      </c>
      <c r="J400" t="s">
        <v>2741</v>
      </c>
      <c r="M400" t="s">
        <v>161</v>
      </c>
      <c r="N400" s="54">
        <v>45010.816724537035</v>
      </c>
      <c r="O400" s="54"/>
      <c r="P400" s="54"/>
      <c r="Q400" t="s">
        <v>2613</v>
      </c>
      <c r="R400" t="s">
        <v>161</v>
      </c>
    </row>
    <row r="401" spans="1:18" x14ac:dyDescent="0.3">
      <c r="A401" t="s">
        <v>884</v>
      </c>
      <c r="B401" t="s">
        <v>3149</v>
      </c>
      <c r="C401" t="s">
        <v>2578</v>
      </c>
      <c r="D401" t="s">
        <v>2610</v>
      </c>
      <c r="E401" t="s">
        <v>3150</v>
      </c>
      <c r="F401" t="s">
        <v>2590</v>
      </c>
      <c r="G401" t="s">
        <v>161</v>
      </c>
      <c r="H401" t="s">
        <v>2603</v>
      </c>
      <c r="I401" t="s">
        <v>2603</v>
      </c>
      <c r="J401" t="s">
        <v>2741</v>
      </c>
      <c r="M401" t="s">
        <v>161</v>
      </c>
      <c r="N401" s="54">
        <v>45010.815474537034</v>
      </c>
      <c r="O401" s="54"/>
      <c r="P401" s="54"/>
      <c r="Q401" t="s">
        <v>2613</v>
      </c>
      <c r="R401" t="s">
        <v>161</v>
      </c>
    </row>
    <row r="402" spans="1:18" x14ac:dyDescent="0.3">
      <c r="A402" t="s">
        <v>884</v>
      </c>
      <c r="B402" t="s">
        <v>3149</v>
      </c>
      <c r="C402" t="s">
        <v>2578</v>
      </c>
      <c r="D402" t="s">
        <v>2610</v>
      </c>
      <c r="E402" t="s">
        <v>3151</v>
      </c>
      <c r="F402" t="s">
        <v>2590</v>
      </c>
      <c r="G402" t="s">
        <v>161</v>
      </c>
      <c r="H402" t="s">
        <v>2603</v>
      </c>
      <c r="I402" t="s">
        <v>2603</v>
      </c>
      <c r="J402" t="s">
        <v>2741</v>
      </c>
      <c r="M402" t="s">
        <v>161</v>
      </c>
      <c r="N402" s="54">
        <v>45010.815648148149</v>
      </c>
      <c r="O402" s="54"/>
      <c r="P402" s="54"/>
      <c r="Q402" t="s">
        <v>2613</v>
      </c>
      <c r="R402" t="s">
        <v>161</v>
      </c>
    </row>
    <row r="403" spans="1:18" x14ac:dyDescent="0.3">
      <c r="A403" t="s">
        <v>884</v>
      </c>
      <c r="B403" t="s">
        <v>3149</v>
      </c>
      <c r="C403" t="s">
        <v>2578</v>
      </c>
      <c r="D403" t="s">
        <v>2610</v>
      </c>
      <c r="E403" t="s">
        <v>3152</v>
      </c>
      <c r="F403" t="s">
        <v>2590</v>
      </c>
      <c r="G403" t="s">
        <v>161</v>
      </c>
      <c r="H403" t="s">
        <v>2603</v>
      </c>
      <c r="I403" t="s">
        <v>2603</v>
      </c>
      <c r="J403" t="s">
        <v>2741</v>
      </c>
      <c r="M403" t="s">
        <v>161</v>
      </c>
      <c r="N403" s="54">
        <v>45010.815787037034</v>
      </c>
      <c r="O403" s="54"/>
      <c r="P403" s="54"/>
      <c r="Q403" t="s">
        <v>2613</v>
      </c>
      <c r="R403" t="s">
        <v>161</v>
      </c>
    </row>
    <row r="404" spans="1:18" x14ac:dyDescent="0.3">
      <c r="A404" t="s">
        <v>884</v>
      </c>
      <c r="B404" t="s">
        <v>3153</v>
      </c>
      <c r="C404" t="s">
        <v>2578</v>
      </c>
      <c r="D404" t="s">
        <v>2610</v>
      </c>
      <c r="E404" t="s">
        <v>3154</v>
      </c>
      <c r="F404" t="s">
        <v>2590</v>
      </c>
      <c r="G404" t="s">
        <v>161</v>
      </c>
      <c r="H404" t="s">
        <v>2603</v>
      </c>
      <c r="I404" t="s">
        <v>2603</v>
      </c>
      <c r="J404" t="s">
        <v>2612</v>
      </c>
      <c r="M404" t="s">
        <v>161</v>
      </c>
      <c r="N404" s="54">
        <v>45028.718275462961</v>
      </c>
      <c r="O404" s="54"/>
      <c r="P404" s="54"/>
      <c r="Q404" t="s">
        <v>2613</v>
      </c>
      <c r="R404" t="s">
        <v>161</v>
      </c>
    </row>
    <row r="405" spans="1:18" x14ac:dyDescent="0.3">
      <c r="A405" t="s">
        <v>884</v>
      </c>
      <c r="B405" t="s">
        <v>3153</v>
      </c>
      <c r="C405" t="s">
        <v>2578</v>
      </c>
      <c r="D405" t="s">
        <v>2610</v>
      </c>
      <c r="E405" t="s">
        <v>3155</v>
      </c>
      <c r="F405" t="s">
        <v>2590</v>
      </c>
      <c r="G405" t="s">
        <v>161</v>
      </c>
      <c r="H405" t="s">
        <v>2603</v>
      </c>
      <c r="I405" t="s">
        <v>2603</v>
      </c>
      <c r="J405" t="s">
        <v>2612</v>
      </c>
      <c r="M405" t="s">
        <v>161</v>
      </c>
      <c r="N405" s="54">
        <v>45799.465358796297</v>
      </c>
      <c r="O405" s="54"/>
      <c r="P405" s="54"/>
      <c r="Q405" t="s">
        <v>2613</v>
      </c>
      <c r="R405" t="s">
        <v>161</v>
      </c>
    </row>
    <row r="406" spans="1:18" x14ac:dyDescent="0.3">
      <c r="A406" t="s">
        <v>884</v>
      </c>
      <c r="B406" t="s">
        <v>3153</v>
      </c>
      <c r="C406" t="s">
        <v>2578</v>
      </c>
      <c r="D406" t="s">
        <v>2610</v>
      </c>
      <c r="E406" t="s">
        <v>3156</v>
      </c>
      <c r="F406" t="s">
        <v>2590</v>
      </c>
      <c r="G406" t="s">
        <v>161</v>
      </c>
      <c r="H406" t="s">
        <v>2603</v>
      </c>
      <c r="I406" t="s">
        <v>2603</v>
      </c>
      <c r="J406" t="s">
        <v>2612</v>
      </c>
      <c r="M406" t="s">
        <v>161</v>
      </c>
      <c r="N406" s="54">
        <v>45028.718171296299</v>
      </c>
      <c r="O406" s="54"/>
      <c r="P406" s="54"/>
      <c r="Q406" t="s">
        <v>2613</v>
      </c>
      <c r="R406" t="s">
        <v>161</v>
      </c>
    </row>
    <row r="407" spans="1:18" x14ac:dyDescent="0.3">
      <c r="A407" t="s">
        <v>884</v>
      </c>
      <c r="B407" t="s">
        <v>3153</v>
      </c>
      <c r="C407" t="s">
        <v>2578</v>
      </c>
      <c r="D407" t="s">
        <v>2610</v>
      </c>
      <c r="E407" t="s">
        <v>3157</v>
      </c>
      <c r="F407" t="s">
        <v>2590</v>
      </c>
      <c r="G407" t="s">
        <v>161</v>
      </c>
      <c r="H407" t="s">
        <v>2603</v>
      </c>
      <c r="I407" t="s">
        <v>2603</v>
      </c>
      <c r="J407" t="s">
        <v>2612</v>
      </c>
      <c r="M407" t="s">
        <v>161</v>
      </c>
      <c r="N407" s="54">
        <v>45897.655810185184</v>
      </c>
      <c r="O407" s="54"/>
      <c r="P407" s="54"/>
      <c r="Q407" t="s">
        <v>2613</v>
      </c>
      <c r="R407" t="s">
        <v>161</v>
      </c>
    </row>
    <row r="408" spans="1:18" x14ac:dyDescent="0.3">
      <c r="A408" t="s">
        <v>884</v>
      </c>
      <c r="B408" t="s">
        <v>3158</v>
      </c>
      <c r="C408" t="s">
        <v>2578</v>
      </c>
      <c r="D408" t="s">
        <v>2610</v>
      </c>
      <c r="E408" t="s">
        <v>3159</v>
      </c>
      <c r="F408" t="s">
        <v>2590</v>
      </c>
      <c r="G408" t="s">
        <v>161</v>
      </c>
      <c r="H408" t="s">
        <v>2603</v>
      </c>
      <c r="I408" t="s">
        <v>2603</v>
      </c>
      <c r="J408" t="s">
        <v>2612</v>
      </c>
      <c r="M408" t="s">
        <v>161</v>
      </c>
      <c r="N408" s="54">
        <v>45855.406215277777</v>
      </c>
      <c r="O408" s="54"/>
      <c r="P408" s="54"/>
      <c r="Q408" t="s">
        <v>2613</v>
      </c>
      <c r="R408" t="s">
        <v>161</v>
      </c>
    </row>
    <row r="409" spans="1:18" x14ac:dyDescent="0.3">
      <c r="A409" t="s">
        <v>884</v>
      </c>
      <c r="B409" t="s">
        <v>3158</v>
      </c>
      <c r="C409" t="s">
        <v>2578</v>
      </c>
      <c r="D409" t="s">
        <v>2610</v>
      </c>
      <c r="E409" t="s">
        <v>3160</v>
      </c>
      <c r="F409" t="s">
        <v>2590</v>
      </c>
      <c r="G409" t="s">
        <v>161</v>
      </c>
      <c r="H409" t="s">
        <v>2603</v>
      </c>
      <c r="I409" t="s">
        <v>2603</v>
      </c>
      <c r="J409" t="s">
        <v>2612</v>
      </c>
      <c r="M409" t="s">
        <v>161</v>
      </c>
      <c r="N409" s="54">
        <v>45251.386712962965</v>
      </c>
      <c r="O409" s="54"/>
      <c r="P409" s="54"/>
      <c r="Q409" t="s">
        <v>2613</v>
      </c>
      <c r="R409" t="s">
        <v>161</v>
      </c>
    </row>
    <row r="410" spans="1:18" x14ac:dyDescent="0.3">
      <c r="A410" t="s">
        <v>884</v>
      </c>
      <c r="B410" t="s">
        <v>3161</v>
      </c>
      <c r="C410" t="s">
        <v>2578</v>
      </c>
      <c r="D410" t="s">
        <v>2610</v>
      </c>
      <c r="E410" t="s">
        <v>3162</v>
      </c>
      <c r="F410" t="s">
        <v>2735</v>
      </c>
      <c r="G410" t="s">
        <v>161</v>
      </c>
      <c r="H410" t="s">
        <v>2583</v>
      </c>
      <c r="I410" t="s">
        <v>2584</v>
      </c>
      <c r="J410" t="s">
        <v>2985</v>
      </c>
      <c r="M410" t="s">
        <v>161</v>
      </c>
      <c r="N410" s="54">
        <v>45015</v>
      </c>
      <c r="O410" s="54"/>
      <c r="P410" s="54"/>
      <c r="Q410" t="s">
        <v>2613</v>
      </c>
      <c r="R410" t="s">
        <v>161</v>
      </c>
    </row>
    <row r="411" spans="1:18" x14ac:dyDescent="0.3">
      <c r="A411" t="s">
        <v>884</v>
      </c>
      <c r="B411" t="s">
        <v>3163</v>
      </c>
      <c r="C411" t="s">
        <v>2578</v>
      </c>
      <c r="D411" t="s">
        <v>2610</v>
      </c>
      <c r="E411" t="s">
        <v>3164</v>
      </c>
      <c r="F411" t="s">
        <v>2590</v>
      </c>
      <c r="G411" t="s">
        <v>161</v>
      </c>
      <c r="H411" t="s">
        <v>2603</v>
      </c>
      <c r="I411" t="s">
        <v>2603</v>
      </c>
      <c r="J411" t="s">
        <v>2612</v>
      </c>
      <c r="M411" t="s">
        <v>161</v>
      </c>
      <c r="N411" s="54">
        <v>45028.765486111108</v>
      </c>
      <c r="O411" s="54"/>
      <c r="P411" s="54"/>
      <c r="Q411" t="s">
        <v>2613</v>
      </c>
      <c r="R411" t="s">
        <v>161</v>
      </c>
    </row>
    <row r="412" spans="1:18" x14ac:dyDescent="0.3">
      <c r="A412" t="s">
        <v>884</v>
      </c>
      <c r="B412" t="s">
        <v>3165</v>
      </c>
      <c r="C412" t="s">
        <v>2578</v>
      </c>
      <c r="D412" t="s">
        <v>2610</v>
      </c>
      <c r="E412" t="s">
        <v>3166</v>
      </c>
      <c r="F412" t="s">
        <v>2598</v>
      </c>
      <c r="G412" t="s">
        <v>161</v>
      </c>
      <c r="H412" t="s">
        <v>2603</v>
      </c>
      <c r="I412" t="s">
        <v>2603</v>
      </c>
      <c r="J412" t="s">
        <v>2604</v>
      </c>
      <c r="M412" t="s">
        <v>161</v>
      </c>
      <c r="N412" s="54">
        <v>45011.503969907404</v>
      </c>
      <c r="O412" s="54"/>
      <c r="P412" s="54"/>
      <c r="Q412" t="s">
        <v>2613</v>
      </c>
      <c r="R412" t="s">
        <v>161</v>
      </c>
    </row>
    <row r="413" spans="1:18" x14ac:dyDescent="0.3">
      <c r="A413" t="s">
        <v>884</v>
      </c>
      <c r="B413" t="s">
        <v>3165</v>
      </c>
      <c r="C413" t="s">
        <v>2578</v>
      </c>
      <c r="D413" t="s">
        <v>2610</v>
      </c>
      <c r="E413" t="s">
        <v>3167</v>
      </c>
      <c r="F413" t="s">
        <v>2598</v>
      </c>
      <c r="G413" t="s">
        <v>161</v>
      </c>
      <c r="H413" t="s">
        <v>2603</v>
      </c>
      <c r="I413" t="s">
        <v>2603</v>
      </c>
      <c r="J413" t="s">
        <v>2604</v>
      </c>
      <c r="M413" t="s">
        <v>161</v>
      </c>
      <c r="N413" s="54">
        <v>45011.504120370373</v>
      </c>
      <c r="O413" s="54"/>
      <c r="P413" s="54"/>
      <c r="Q413" t="s">
        <v>2613</v>
      </c>
      <c r="R413" t="s">
        <v>161</v>
      </c>
    </row>
    <row r="414" spans="1:18" x14ac:dyDescent="0.3">
      <c r="A414" t="s">
        <v>884</v>
      </c>
      <c r="B414" t="s">
        <v>3168</v>
      </c>
      <c r="C414" t="s">
        <v>2578</v>
      </c>
      <c r="D414" t="s">
        <v>2610</v>
      </c>
      <c r="E414" t="s">
        <v>3169</v>
      </c>
      <c r="F414" t="s">
        <v>2760</v>
      </c>
      <c r="G414" t="s">
        <v>161</v>
      </c>
      <c r="H414" t="s">
        <v>2603</v>
      </c>
      <c r="I414" t="s">
        <v>2603</v>
      </c>
      <c r="J414" t="s">
        <v>2773</v>
      </c>
      <c r="M414" t="s">
        <v>161</v>
      </c>
      <c r="N414" s="54">
        <v>45015</v>
      </c>
      <c r="O414" s="54"/>
      <c r="P414" s="54"/>
      <c r="Q414" t="s">
        <v>2613</v>
      </c>
      <c r="R414" t="s">
        <v>161</v>
      </c>
    </row>
    <row r="415" spans="1:18" x14ac:dyDescent="0.3">
      <c r="A415" t="s">
        <v>884</v>
      </c>
      <c r="B415" t="s">
        <v>3168</v>
      </c>
      <c r="C415" t="s">
        <v>2578</v>
      </c>
      <c r="D415" t="s">
        <v>2610</v>
      </c>
      <c r="E415" t="s">
        <v>3170</v>
      </c>
      <c r="F415" t="s">
        <v>2760</v>
      </c>
      <c r="G415" t="s">
        <v>161</v>
      </c>
      <c r="H415" t="s">
        <v>2603</v>
      </c>
      <c r="I415" t="s">
        <v>2603</v>
      </c>
      <c r="J415" t="s">
        <v>2773</v>
      </c>
      <c r="M415" t="s">
        <v>161</v>
      </c>
      <c r="N415" s="54">
        <v>45016.374525462961</v>
      </c>
      <c r="O415" s="54"/>
      <c r="P415" s="54"/>
      <c r="Q415" t="s">
        <v>2613</v>
      </c>
      <c r="R415" t="s">
        <v>161</v>
      </c>
    </row>
    <row r="416" spans="1:18" x14ac:dyDescent="0.3">
      <c r="A416" t="s">
        <v>884</v>
      </c>
      <c r="B416" t="s">
        <v>3168</v>
      </c>
      <c r="C416" t="s">
        <v>2578</v>
      </c>
      <c r="D416" t="s">
        <v>2610</v>
      </c>
      <c r="E416" t="s">
        <v>3171</v>
      </c>
      <c r="F416" t="s">
        <v>2760</v>
      </c>
      <c r="G416" t="s">
        <v>161</v>
      </c>
      <c r="H416" t="s">
        <v>2603</v>
      </c>
      <c r="I416" t="s">
        <v>2603</v>
      </c>
      <c r="J416" t="s">
        <v>2773</v>
      </c>
      <c r="M416" t="s">
        <v>161</v>
      </c>
      <c r="N416" s="54">
        <v>45015</v>
      </c>
      <c r="O416" s="54"/>
      <c r="P416" s="54"/>
      <c r="Q416" t="s">
        <v>2613</v>
      </c>
      <c r="R416" t="s">
        <v>161</v>
      </c>
    </row>
    <row r="417" spans="1:18" x14ac:dyDescent="0.3">
      <c r="A417" t="s">
        <v>884</v>
      </c>
      <c r="B417" t="s">
        <v>3168</v>
      </c>
      <c r="C417" t="s">
        <v>2578</v>
      </c>
      <c r="D417" t="s">
        <v>2610</v>
      </c>
      <c r="E417" t="s">
        <v>3172</v>
      </c>
      <c r="F417" t="s">
        <v>2760</v>
      </c>
      <c r="G417" t="s">
        <v>161</v>
      </c>
      <c r="H417" t="s">
        <v>2603</v>
      </c>
      <c r="I417" t="s">
        <v>2603</v>
      </c>
      <c r="J417" t="s">
        <v>2773</v>
      </c>
      <c r="M417" t="s">
        <v>161</v>
      </c>
      <c r="N417" s="54">
        <v>45016.374675925923</v>
      </c>
      <c r="O417" s="54"/>
      <c r="P417" s="54"/>
      <c r="Q417" t="s">
        <v>2613</v>
      </c>
      <c r="R417" t="s">
        <v>161</v>
      </c>
    </row>
    <row r="418" spans="1:18" x14ac:dyDescent="0.3">
      <c r="A418" t="s">
        <v>884</v>
      </c>
      <c r="B418" t="s">
        <v>3168</v>
      </c>
      <c r="C418" t="s">
        <v>2578</v>
      </c>
      <c r="D418" t="s">
        <v>2610</v>
      </c>
      <c r="E418" t="s">
        <v>3173</v>
      </c>
      <c r="F418" t="s">
        <v>2760</v>
      </c>
      <c r="G418" t="s">
        <v>161</v>
      </c>
      <c r="H418" t="s">
        <v>2603</v>
      </c>
      <c r="I418" t="s">
        <v>2603</v>
      </c>
      <c r="J418" t="s">
        <v>2773</v>
      </c>
      <c r="M418" t="s">
        <v>161</v>
      </c>
      <c r="N418" s="54">
        <v>45016.374791666669</v>
      </c>
      <c r="O418" s="54"/>
      <c r="P418" s="54"/>
      <c r="Q418" t="s">
        <v>2613</v>
      </c>
      <c r="R418" t="s">
        <v>161</v>
      </c>
    </row>
    <row r="419" spans="1:18" x14ac:dyDescent="0.3">
      <c r="A419" t="s">
        <v>884</v>
      </c>
      <c r="B419" t="s">
        <v>3174</v>
      </c>
      <c r="C419" t="s">
        <v>2578</v>
      </c>
      <c r="D419" t="s">
        <v>2610</v>
      </c>
      <c r="E419" t="s">
        <v>3175</v>
      </c>
      <c r="F419" t="s">
        <v>2598</v>
      </c>
      <c r="G419" t="s">
        <v>161</v>
      </c>
      <c r="H419" t="s">
        <v>2603</v>
      </c>
      <c r="I419" t="s">
        <v>2603</v>
      </c>
      <c r="J419" t="s">
        <v>2604</v>
      </c>
      <c r="M419" t="s">
        <v>161</v>
      </c>
      <c r="N419" s="54">
        <v>45016.366516203707</v>
      </c>
      <c r="O419" s="54"/>
      <c r="P419" s="54"/>
      <c r="Q419" t="s">
        <v>2613</v>
      </c>
      <c r="R419" t="s">
        <v>161</v>
      </c>
    </row>
    <row r="420" spans="1:18" x14ac:dyDescent="0.3">
      <c r="A420" t="s">
        <v>884</v>
      </c>
      <c r="B420" t="s">
        <v>3174</v>
      </c>
      <c r="C420" t="s">
        <v>2578</v>
      </c>
      <c r="D420" t="s">
        <v>2610</v>
      </c>
      <c r="E420" t="s">
        <v>3176</v>
      </c>
      <c r="F420" t="s">
        <v>2598</v>
      </c>
      <c r="G420" t="s">
        <v>161</v>
      </c>
      <c r="H420" t="s">
        <v>2603</v>
      </c>
      <c r="I420" t="s">
        <v>2603</v>
      </c>
      <c r="J420" t="s">
        <v>2604</v>
      </c>
      <c r="M420" t="s">
        <v>161</v>
      </c>
      <c r="N420" s="54">
        <v>45016.366620370369</v>
      </c>
      <c r="O420" s="54"/>
      <c r="P420" s="54"/>
      <c r="Q420" t="s">
        <v>2613</v>
      </c>
      <c r="R420" t="s">
        <v>161</v>
      </c>
    </row>
    <row r="421" spans="1:18" x14ac:dyDescent="0.3">
      <c r="A421" t="s">
        <v>884</v>
      </c>
      <c r="B421" t="s">
        <v>3177</v>
      </c>
      <c r="C421" t="s">
        <v>2578</v>
      </c>
      <c r="D421" t="s">
        <v>2610</v>
      </c>
      <c r="E421" t="s">
        <v>3178</v>
      </c>
      <c r="F421" t="s">
        <v>2590</v>
      </c>
      <c r="G421" t="s">
        <v>161</v>
      </c>
      <c r="H421" t="s">
        <v>2591</v>
      </c>
      <c r="I421" t="s">
        <v>2685</v>
      </c>
      <c r="J421" t="s">
        <v>2686</v>
      </c>
      <c r="M421" t="s">
        <v>161</v>
      </c>
      <c r="N421" s="54">
        <v>45010.699675925927</v>
      </c>
      <c r="O421" s="54"/>
      <c r="P421" s="54"/>
      <c r="Q421" t="s">
        <v>2613</v>
      </c>
      <c r="R421" t="s">
        <v>161</v>
      </c>
    </row>
    <row r="422" spans="1:18" x14ac:dyDescent="0.3">
      <c r="A422" t="s">
        <v>884</v>
      </c>
      <c r="B422" t="s">
        <v>3177</v>
      </c>
      <c r="C422" t="s">
        <v>2578</v>
      </c>
      <c r="D422" t="s">
        <v>2610</v>
      </c>
      <c r="E422" t="s">
        <v>3179</v>
      </c>
      <c r="F422" t="s">
        <v>2590</v>
      </c>
      <c r="G422" t="s">
        <v>161</v>
      </c>
      <c r="H422" t="s">
        <v>2591</v>
      </c>
      <c r="I422" t="s">
        <v>2685</v>
      </c>
      <c r="J422" t="s">
        <v>2686</v>
      </c>
      <c r="M422" t="s">
        <v>161</v>
      </c>
      <c r="N422" s="54">
        <v>45010.700775462959</v>
      </c>
      <c r="O422" s="54"/>
      <c r="P422" s="54"/>
      <c r="Q422" t="s">
        <v>2613</v>
      </c>
      <c r="R422" t="s">
        <v>161</v>
      </c>
    </row>
    <row r="423" spans="1:18" x14ac:dyDescent="0.3">
      <c r="A423" t="s">
        <v>884</v>
      </c>
      <c r="B423" t="s">
        <v>3177</v>
      </c>
      <c r="C423" t="s">
        <v>2578</v>
      </c>
      <c r="D423" t="s">
        <v>2610</v>
      </c>
      <c r="E423" t="s">
        <v>3180</v>
      </c>
      <c r="F423" t="s">
        <v>2590</v>
      </c>
      <c r="G423" t="s">
        <v>161</v>
      </c>
      <c r="H423" t="s">
        <v>2591</v>
      </c>
      <c r="I423" t="s">
        <v>2685</v>
      </c>
      <c r="J423" t="s">
        <v>2686</v>
      </c>
      <c r="M423" t="s">
        <v>161</v>
      </c>
      <c r="N423" s="54">
        <v>45574.570138888892</v>
      </c>
      <c r="O423" s="54"/>
      <c r="P423" s="54"/>
      <c r="Q423" t="s">
        <v>2613</v>
      </c>
      <c r="R423" t="s">
        <v>161</v>
      </c>
    </row>
    <row r="424" spans="1:18" x14ac:dyDescent="0.3">
      <c r="A424" t="s">
        <v>884</v>
      </c>
      <c r="B424" t="s">
        <v>3177</v>
      </c>
      <c r="C424" t="s">
        <v>2578</v>
      </c>
      <c r="D424" t="s">
        <v>2610</v>
      </c>
      <c r="E424" t="s">
        <v>3181</v>
      </c>
      <c r="F424" t="s">
        <v>2590</v>
      </c>
      <c r="G424" t="s">
        <v>161</v>
      </c>
      <c r="H424" t="s">
        <v>2591</v>
      </c>
      <c r="I424" t="s">
        <v>2685</v>
      </c>
      <c r="J424" t="s">
        <v>2686</v>
      </c>
      <c r="M424" t="s">
        <v>161</v>
      </c>
      <c r="N424" s="54">
        <v>45015</v>
      </c>
      <c r="O424" s="54"/>
      <c r="P424" s="54"/>
      <c r="Q424" t="s">
        <v>2613</v>
      </c>
      <c r="R424" t="s">
        <v>161</v>
      </c>
    </row>
    <row r="425" spans="1:18" x14ac:dyDescent="0.3">
      <c r="A425" t="s">
        <v>884</v>
      </c>
      <c r="B425" t="s">
        <v>3177</v>
      </c>
      <c r="C425" t="s">
        <v>2578</v>
      </c>
      <c r="D425" t="s">
        <v>2610</v>
      </c>
      <c r="E425" t="s">
        <v>3182</v>
      </c>
      <c r="F425" t="s">
        <v>2590</v>
      </c>
      <c r="G425" t="s">
        <v>161</v>
      </c>
      <c r="H425" t="s">
        <v>2591</v>
      </c>
      <c r="I425" t="s">
        <v>2685</v>
      </c>
      <c r="J425" t="s">
        <v>2686</v>
      </c>
      <c r="M425" t="s">
        <v>161</v>
      </c>
      <c r="N425" s="54">
        <v>45015</v>
      </c>
      <c r="O425" s="54"/>
      <c r="P425" s="54"/>
      <c r="Q425" t="s">
        <v>2613</v>
      </c>
      <c r="R425" t="s">
        <v>161</v>
      </c>
    </row>
    <row r="426" spans="1:18" x14ac:dyDescent="0.3">
      <c r="A426" t="s">
        <v>884</v>
      </c>
      <c r="B426" t="s">
        <v>3177</v>
      </c>
      <c r="C426" t="s">
        <v>2578</v>
      </c>
      <c r="D426" t="s">
        <v>2610</v>
      </c>
      <c r="E426" t="s">
        <v>3183</v>
      </c>
      <c r="F426" t="s">
        <v>2590</v>
      </c>
      <c r="G426" t="s">
        <v>161</v>
      </c>
      <c r="H426" t="s">
        <v>2591</v>
      </c>
      <c r="I426" t="s">
        <v>2685</v>
      </c>
      <c r="J426" t="s">
        <v>2686</v>
      </c>
      <c r="M426" t="s">
        <v>161</v>
      </c>
      <c r="N426" s="54">
        <v>45015</v>
      </c>
      <c r="O426" s="54"/>
      <c r="P426" s="54"/>
      <c r="Q426" t="s">
        <v>2613</v>
      </c>
      <c r="R426" t="s">
        <v>161</v>
      </c>
    </row>
    <row r="427" spans="1:18" x14ac:dyDescent="0.3">
      <c r="A427" t="s">
        <v>884</v>
      </c>
      <c r="B427" t="s">
        <v>2601</v>
      </c>
      <c r="C427" t="s">
        <v>2578</v>
      </c>
      <c r="D427" t="s">
        <v>2610</v>
      </c>
      <c r="E427" t="s">
        <v>3184</v>
      </c>
      <c r="F427" t="s">
        <v>2598</v>
      </c>
      <c r="G427" t="s">
        <v>161</v>
      </c>
      <c r="H427" t="s">
        <v>2603</v>
      </c>
      <c r="I427" t="s">
        <v>2603</v>
      </c>
      <c r="J427" t="s">
        <v>2604</v>
      </c>
      <c r="M427" t="s">
        <v>161</v>
      </c>
      <c r="N427" s="54">
        <v>45539.674166666664</v>
      </c>
      <c r="O427" s="54"/>
      <c r="P427" s="54"/>
      <c r="Q427" t="s">
        <v>2613</v>
      </c>
      <c r="R427" t="s">
        <v>161</v>
      </c>
    </row>
    <row r="428" spans="1:18" x14ac:dyDescent="0.3">
      <c r="A428" t="s">
        <v>884</v>
      </c>
      <c r="B428" t="s">
        <v>2601</v>
      </c>
      <c r="C428" t="s">
        <v>2578</v>
      </c>
      <c r="D428" t="s">
        <v>2610</v>
      </c>
      <c r="E428" t="s">
        <v>3185</v>
      </c>
      <c r="F428" t="s">
        <v>2598</v>
      </c>
      <c r="G428" t="s">
        <v>161</v>
      </c>
      <c r="H428" t="s">
        <v>2603</v>
      </c>
      <c r="I428" t="s">
        <v>2603</v>
      </c>
      <c r="J428" t="s">
        <v>2604</v>
      </c>
      <c r="M428" t="s">
        <v>161</v>
      </c>
      <c r="N428" s="54">
        <v>45539.67428240741</v>
      </c>
      <c r="O428" s="54"/>
      <c r="P428" s="54"/>
      <c r="Q428" t="s">
        <v>2613</v>
      </c>
      <c r="R428" t="s">
        <v>161</v>
      </c>
    </row>
    <row r="429" spans="1:18" x14ac:dyDescent="0.3">
      <c r="A429" t="s">
        <v>884</v>
      </c>
      <c r="B429" t="s">
        <v>2601</v>
      </c>
      <c r="C429" t="s">
        <v>2578</v>
      </c>
      <c r="D429" t="s">
        <v>2610</v>
      </c>
      <c r="E429" t="s">
        <v>3186</v>
      </c>
      <c r="F429" t="s">
        <v>2598</v>
      </c>
      <c r="G429" t="s">
        <v>161</v>
      </c>
      <c r="H429" t="s">
        <v>2603</v>
      </c>
      <c r="I429" t="s">
        <v>2603</v>
      </c>
      <c r="J429" t="s">
        <v>2604</v>
      </c>
      <c r="M429" t="s">
        <v>161</v>
      </c>
      <c r="N429" s="54">
        <v>45839.659108796295</v>
      </c>
      <c r="O429" s="54"/>
      <c r="P429" s="54"/>
      <c r="Q429" t="s">
        <v>2613</v>
      </c>
      <c r="R429" t="s">
        <v>161</v>
      </c>
    </row>
    <row r="430" spans="1:18" x14ac:dyDescent="0.3">
      <c r="A430" t="s">
        <v>884</v>
      </c>
      <c r="B430" t="s">
        <v>2601</v>
      </c>
      <c r="C430" t="s">
        <v>2578</v>
      </c>
      <c r="D430" t="s">
        <v>2610</v>
      </c>
      <c r="E430" t="s">
        <v>3187</v>
      </c>
      <c r="F430" t="s">
        <v>2598</v>
      </c>
      <c r="G430" t="s">
        <v>161</v>
      </c>
      <c r="H430" t="s">
        <v>2603</v>
      </c>
      <c r="I430" t="s">
        <v>2603</v>
      </c>
      <c r="J430" t="s">
        <v>2604</v>
      </c>
      <c r="M430" t="s">
        <v>161</v>
      </c>
      <c r="N430" s="54">
        <v>45011.497615740744</v>
      </c>
      <c r="O430" s="54"/>
      <c r="P430" s="54"/>
      <c r="Q430" t="s">
        <v>2613</v>
      </c>
      <c r="R430" t="s">
        <v>161</v>
      </c>
    </row>
    <row r="431" spans="1:18" x14ac:dyDescent="0.3">
      <c r="A431" t="s">
        <v>884</v>
      </c>
      <c r="B431" t="s">
        <v>2601</v>
      </c>
      <c r="C431" t="s">
        <v>2578</v>
      </c>
      <c r="D431" t="s">
        <v>2610</v>
      </c>
      <c r="E431" t="s">
        <v>3188</v>
      </c>
      <c r="F431" t="s">
        <v>2598</v>
      </c>
      <c r="G431" t="s">
        <v>161</v>
      </c>
      <c r="H431" t="s">
        <v>2603</v>
      </c>
      <c r="I431" t="s">
        <v>2603</v>
      </c>
      <c r="J431" t="s">
        <v>2604</v>
      </c>
      <c r="M431" t="s">
        <v>161</v>
      </c>
      <c r="N431" s="54">
        <v>45832.46166666667</v>
      </c>
      <c r="O431" s="54"/>
      <c r="P431" s="54"/>
      <c r="Q431" t="s">
        <v>2613</v>
      </c>
      <c r="R431" t="s">
        <v>161</v>
      </c>
    </row>
    <row r="432" spans="1:18" x14ac:dyDescent="0.3">
      <c r="A432" t="s">
        <v>884</v>
      </c>
      <c r="B432" t="s">
        <v>2601</v>
      </c>
      <c r="C432" t="s">
        <v>2578</v>
      </c>
      <c r="D432" t="s">
        <v>2610</v>
      </c>
      <c r="E432" t="s">
        <v>3189</v>
      </c>
      <c r="F432" t="s">
        <v>2598</v>
      </c>
      <c r="G432" t="s">
        <v>161</v>
      </c>
      <c r="H432" t="s">
        <v>2603</v>
      </c>
      <c r="I432" t="s">
        <v>2603</v>
      </c>
      <c r="J432" t="s">
        <v>2604</v>
      </c>
      <c r="M432" t="s">
        <v>161</v>
      </c>
      <c r="N432" s="54">
        <v>45377.413703703707</v>
      </c>
      <c r="O432" s="54"/>
      <c r="P432" s="54"/>
      <c r="Q432" t="s">
        <v>2613</v>
      </c>
      <c r="R432" t="s">
        <v>161</v>
      </c>
    </row>
    <row r="433" spans="1:18" x14ac:dyDescent="0.3">
      <c r="A433" t="s">
        <v>884</v>
      </c>
      <c r="B433" t="s">
        <v>2601</v>
      </c>
      <c r="C433" t="s">
        <v>2578</v>
      </c>
      <c r="D433" t="s">
        <v>2610</v>
      </c>
      <c r="E433" t="s">
        <v>3190</v>
      </c>
      <c r="F433" t="s">
        <v>2598</v>
      </c>
      <c r="G433" t="s">
        <v>161</v>
      </c>
      <c r="H433" t="s">
        <v>2603</v>
      </c>
      <c r="I433" t="s">
        <v>2603</v>
      </c>
      <c r="J433" t="s">
        <v>2604</v>
      </c>
      <c r="M433" t="s">
        <v>161</v>
      </c>
      <c r="N433" s="54">
        <v>45011.498101851852</v>
      </c>
      <c r="O433" s="54"/>
      <c r="P433" s="54"/>
      <c r="Q433" t="s">
        <v>2613</v>
      </c>
      <c r="R433" t="s">
        <v>161</v>
      </c>
    </row>
    <row r="434" spans="1:18" x14ac:dyDescent="0.3">
      <c r="A434" t="s">
        <v>884</v>
      </c>
      <c r="B434" t="s">
        <v>3191</v>
      </c>
      <c r="C434" t="s">
        <v>2578</v>
      </c>
      <c r="D434" t="s">
        <v>2610</v>
      </c>
      <c r="E434" t="s">
        <v>3192</v>
      </c>
      <c r="F434" t="s">
        <v>2590</v>
      </c>
      <c r="G434" t="s">
        <v>161</v>
      </c>
      <c r="H434" t="s">
        <v>2603</v>
      </c>
      <c r="I434" t="s">
        <v>2603</v>
      </c>
      <c r="J434" t="s">
        <v>2612</v>
      </c>
      <c r="M434" t="s">
        <v>161</v>
      </c>
      <c r="N434" s="54">
        <v>45028.717349537037</v>
      </c>
      <c r="O434" s="54"/>
      <c r="P434" s="54"/>
      <c r="Q434" t="s">
        <v>2613</v>
      </c>
      <c r="R434" t="s">
        <v>161</v>
      </c>
    </row>
    <row r="435" spans="1:18" x14ac:dyDescent="0.3">
      <c r="A435" t="s">
        <v>884</v>
      </c>
      <c r="B435" t="s">
        <v>3193</v>
      </c>
      <c r="C435" t="s">
        <v>2578</v>
      </c>
      <c r="D435" t="s">
        <v>2610</v>
      </c>
      <c r="E435" t="s">
        <v>3194</v>
      </c>
      <c r="F435" t="s">
        <v>2882</v>
      </c>
      <c r="G435" t="s">
        <v>161</v>
      </c>
      <c r="H435" t="s">
        <v>2603</v>
      </c>
      <c r="I435" t="s">
        <v>2603</v>
      </c>
      <c r="J435" t="s">
        <v>2773</v>
      </c>
      <c r="M435" t="s">
        <v>161</v>
      </c>
      <c r="N435" s="54">
        <v>45055.467962962961</v>
      </c>
      <c r="O435" s="54"/>
      <c r="P435" s="54"/>
      <c r="Q435" t="s">
        <v>2613</v>
      </c>
      <c r="R435" t="s">
        <v>161</v>
      </c>
    </row>
    <row r="436" spans="1:18" x14ac:dyDescent="0.3">
      <c r="A436" t="s">
        <v>884</v>
      </c>
      <c r="B436" t="s">
        <v>3193</v>
      </c>
      <c r="C436" t="s">
        <v>2578</v>
      </c>
      <c r="D436" t="s">
        <v>2610</v>
      </c>
      <c r="E436" t="s">
        <v>3195</v>
      </c>
      <c r="F436" t="s">
        <v>2882</v>
      </c>
      <c r="G436" t="s">
        <v>161</v>
      </c>
      <c r="H436" t="s">
        <v>2603</v>
      </c>
      <c r="I436" t="s">
        <v>2603</v>
      </c>
      <c r="J436" t="s">
        <v>2773</v>
      </c>
      <c r="M436" t="s">
        <v>161</v>
      </c>
      <c r="N436" s="54">
        <v>45055.471030092594</v>
      </c>
      <c r="O436" s="54"/>
      <c r="P436" s="54"/>
      <c r="Q436" t="s">
        <v>2613</v>
      </c>
      <c r="R436" t="s">
        <v>161</v>
      </c>
    </row>
    <row r="437" spans="1:18" x14ac:dyDescent="0.3">
      <c r="A437" t="s">
        <v>884</v>
      </c>
      <c r="B437" t="s">
        <v>3196</v>
      </c>
      <c r="C437" t="s">
        <v>2578</v>
      </c>
      <c r="D437" t="s">
        <v>2610</v>
      </c>
      <c r="E437" t="s">
        <v>3197</v>
      </c>
      <c r="F437" t="s">
        <v>2882</v>
      </c>
      <c r="G437" t="s">
        <v>161</v>
      </c>
      <c r="H437" t="s">
        <v>2603</v>
      </c>
      <c r="I437" t="s">
        <v>2603</v>
      </c>
      <c r="J437" t="s">
        <v>2773</v>
      </c>
      <c r="M437" t="s">
        <v>161</v>
      </c>
      <c r="N437" s="54">
        <v>45055.471805555557</v>
      </c>
      <c r="O437" s="54"/>
      <c r="P437" s="54"/>
      <c r="Q437" t="s">
        <v>2613</v>
      </c>
      <c r="R437" t="s">
        <v>161</v>
      </c>
    </row>
    <row r="438" spans="1:18" x14ac:dyDescent="0.3">
      <c r="A438" t="s">
        <v>884</v>
      </c>
      <c r="B438" t="s">
        <v>3198</v>
      </c>
      <c r="C438" t="s">
        <v>2578</v>
      </c>
      <c r="D438" t="s">
        <v>2610</v>
      </c>
      <c r="E438" t="s">
        <v>3199</v>
      </c>
      <c r="F438" t="s">
        <v>2882</v>
      </c>
      <c r="G438" t="s">
        <v>161</v>
      </c>
      <c r="H438" t="s">
        <v>2603</v>
      </c>
      <c r="I438" t="s">
        <v>2603</v>
      </c>
      <c r="J438" t="s">
        <v>2773</v>
      </c>
      <c r="M438" t="s">
        <v>161</v>
      </c>
      <c r="N438" s="54">
        <v>45055.473807870374</v>
      </c>
      <c r="O438" s="54"/>
      <c r="P438" s="54"/>
      <c r="Q438" t="s">
        <v>2613</v>
      </c>
      <c r="R438" t="s">
        <v>161</v>
      </c>
    </row>
    <row r="439" spans="1:18" x14ac:dyDescent="0.3">
      <c r="A439" t="s">
        <v>884</v>
      </c>
      <c r="B439" t="s">
        <v>3198</v>
      </c>
      <c r="C439" t="s">
        <v>2578</v>
      </c>
      <c r="D439" t="s">
        <v>2610</v>
      </c>
      <c r="E439" t="s">
        <v>3200</v>
      </c>
      <c r="F439" t="s">
        <v>2882</v>
      </c>
      <c r="G439" t="s">
        <v>161</v>
      </c>
      <c r="H439" t="s">
        <v>2603</v>
      </c>
      <c r="I439" t="s">
        <v>2603</v>
      </c>
      <c r="J439" t="s">
        <v>2773</v>
      </c>
      <c r="M439" t="s">
        <v>161</v>
      </c>
      <c r="N439" s="54">
        <v>45055.474444444444</v>
      </c>
      <c r="O439" s="54"/>
      <c r="P439" s="54"/>
      <c r="Q439" t="s">
        <v>2613</v>
      </c>
      <c r="R439" t="s">
        <v>161</v>
      </c>
    </row>
    <row r="440" spans="1:18" x14ac:dyDescent="0.3">
      <c r="A440" t="s">
        <v>884</v>
      </c>
      <c r="B440" t="s">
        <v>3201</v>
      </c>
      <c r="C440" t="s">
        <v>2578</v>
      </c>
      <c r="D440" t="s">
        <v>2610</v>
      </c>
      <c r="E440" t="s">
        <v>3202</v>
      </c>
      <c r="F440" t="s">
        <v>2590</v>
      </c>
      <c r="G440" t="s">
        <v>161</v>
      </c>
      <c r="H440" t="s">
        <v>2591</v>
      </c>
      <c r="I440" t="s">
        <v>2685</v>
      </c>
      <c r="J440" t="s">
        <v>2686</v>
      </c>
      <c r="M440" t="s">
        <v>161</v>
      </c>
      <c r="N440" s="54">
        <v>45010.697453703702</v>
      </c>
      <c r="O440" s="54"/>
      <c r="P440" s="54"/>
      <c r="Q440" t="s">
        <v>2613</v>
      </c>
      <c r="R440" t="s">
        <v>161</v>
      </c>
    </row>
    <row r="441" spans="1:18" x14ac:dyDescent="0.3">
      <c r="A441" t="s">
        <v>884</v>
      </c>
      <c r="B441" t="s">
        <v>3201</v>
      </c>
      <c r="C441" t="s">
        <v>2578</v>
      </c>
      <c r="D441" t="s">
        <v>2610</v>
      </c>
      <c r="E441" t="s">
        <v>3203</v>
      </c>
      <c r="F441" t="s">
        <v>2590</v>
      </c>
      <c r="G441" t="s">
        <v>161</v>
      </c>
      <c r="H441" t="s">
        <v>2591</v>
      </c>
      <c r="I441" t="s">
        <v>2685</v>
      </c>
      <c r="J441" t="s">
        <v>2686</v>
      </c>
      <c r="M441" t="s">
        <v>161</v>
      </c>
      <c r="N441" s="54">
        <v>45010.697708333333</v>
      </c>
      <c r="O441" s="54"/>
      <c r="P441" s="54"/>
      <c r="Q441" t="s">
        <v>2613</v>
      </c>
      <c r="R441" t="s">
        <v>161</v>
      </c>
    </row>
    <row r="442" spans="1:18" x14ac:dyDescent="0.3">
      <c r="A442" t="s">
        <v>884</v>
      </c>
      <c r="B442" t="s">
        <v>3201</v>
      </c>
      <c r="C442" t="s">
        <v>2578</v>
      </c>
      <c r="D442" t="s">
        <v>2610</v>
      </c>
      <c r="E442" t="s">
        <v>3204</v>
      </c>
      <c r="F442" t="s">
        <v>2590</v>
      </c>
      <c r="G442" t="s">
        <v>161</v>
      </c>
      <c r="H442" t="s">
        <v>2591</v>
      </c>
      <c r="I442" t="s">
        <v>2685</v>
      </c>
      <c r="J442" t="s">
        <v>2686</v>
      </c>
      <c r="M442" t="s">
        <v>161</v>
      </c>
      <c r="N442" s="54">
        <v>45330.755925925929</v>
      </c>
      <c r="O442" s="54"/>
      <c r="P442" s="54"/>
      <c r="Q442" t="s">
        <v>2613</v>
      </c>
      <c r="R442" t="s">
        <v>161</v>
      </c>
    </row>
    <row r="443" spans="1:18" x14ac:dyDescent="0.3">
      <c r="A443" t="s">
        <v>884</v>
      </c>
      <c r="B443" t="s">
        <v>3201</v>
      </c>
      <c r="C443" t="s">
        <v>2578</v>
      </c>
      <c r="D443" t="s">
        <v>2610</v>
      </c>
      <c r="E443" t="s">
        <v>3205</v>
      </c>
      <c r="F443" t="s">
        <v>2590</v>
      </c>
      <c r="G443" t="s">
        <v>161</v>
      </c>
      <c r="H443" t="s">
        <v>2591</v>
      </c>
      <c r="I443" t="s">
        <v>2685</v>
      </c>
      <c r="J443" t="s">
        <v>2686</v>
      </c>
      <c r="M443" t="s">
        <v>161</v>
      </c>
      <c r="N443" s="54">
        <v>45010.698148148149</v>
      </c>
      <c r="O443" s="54"/>
      <c r="P443" s="54"/>
      <c r="Q443" t="s">
        <v>2613</v>
      </c>
      <c r="R443" t="s">
        <v>161</v>
      </c>
    </row>
    <row r="444" spans="1:18" x14ac:dyDescent="0.3">
      <c r="A444" t="s">
        <v>884</v>
      </c>
      <c r="B444" t="s">
        <v>3201</v>
      </c>
      <c r="C444" t="s">
        <v>2578</v>
      </c>
      <c r="D444" t="s">
        <v>2610</v>
      </c>
      <c r="E444" t="s">
        <v>3206</v>
      </c>
      <c r="F444" t="s">
        <v>2590</v>
      </c>
      <c r="G444" t="s">
        <v>161</v>
      </c>
      <c r="H444" t="s">
        <v>2591</v>
      </c>
      <c r="I444" t="s">
        <v>2685</v>
      </c>
      <c r="J444" t="s">
        <v>2686</v>
      </c>
      <c r="M444" t="s">
        <v>161</v>
      </c>
      <c r="N444" s="54">
        <v>45010.698310185187</v>
      </c>
      <c r="O444" s="54"/>
      <c r="P444" s="54"/>
      <c r="Q444" t="s">
        <v>2613</v>
      </c>
      <c r="R444" t="s">
        <v>161</v>
      </c>
    </row>
    <row r="445" spans="1:18" x14ac:dyDescent="0.3">
      <c r="A445" t="s">
        <v>884</v>
      </c>
      <c r="B445" t="s">
        <v>3207</v>
      </c>
      <c r="C445" t="s">
        <v>2578</v>
      </c>
      <c r="D445" t="s">
        <v>2610</v>
      </c>
      <c r="E445" t="s">
        <v>3208</v>
      </c>
      <c r="F445" t="s">
        <v>2590</v>
      </c>
      <c r="G445" t="s">
        <v>161</v>
      </c>
      <c r="H445" t="s">
        <v>2603</v>
      </c>
      <c r="I445" t="s">
        <v>2603</v>
      </c>
      <c r="J445" t="s">
        <v>2741</v>
      </c>
      <c r="M445" t="s">
        <v>161</v>
      </c>
      <c r="N445" s="54">
        <v>45010.790601851855</v>
      </c>
      <c r="O445" s="54"/>
      <c r="P445" s="54"/>
      <c r="Q445" t="s">
        <v>2613</v>
      </c>
      <c r="R445" t="s">
        <v>161</v>
      </c>
    </row>
    <row r="446" spans="1:18" x14ac:dyDescent="0.3">
      <c r="A446" t="s">
        <v>884</v>
      </c>
      <c r="B446" t="s">
        <v>3207</v>
      </c>
      <c r="C446" t="s">
        <v>2578</v>
      </c>
      <c r="D446" t="s">
        <v>2610</v>
      </c>
      <c r="E446" t="s">
        <v>3209</v>
      </c>
      <c r="F446" t="s">
        <v>2590</v>
      </c>
      <c r="G446" t="s">
        <v>161</v>
      </c>
      <c r="H446" t="s">
        <v>2603</v>
      </c>
      <c r="I446" t="s">
        <v>2603</v>
      </c>
      <c r="J446" t="s">
        <v>2741</v>
      </c>
      <c r="M446" t="s">
        <v>161</v>
      </c>
      <c r="N446" s="54">
        <v>45356.507430555554</v>
      </c>
      <c r="O446" s="54"/>
      <c r="P446" s="54"/>
      <c r="Q446" t="s">
        <v>2613</v>
      </c>
      <c r="R446" t="s">
        <v>161</v>
      </c>
    </row>
    <row r="447" spans="1:18" x14ac:dyDescent="0.3">
      <c r="A447" t="s">
        <v>884</v>
      </c>
      <c r="B447" t="s">
        <v>3207</v>
      </c>
      <c r="C447" t="s">
        <v>2578</v>
      </c>
      <c r="D447" t="s">
        <v>2610</v>
      </c>
      <c r="E447" t="s">
        <v>3210</v>
      </c>
      <c r="F447" t="s">
        <v>2590</v>
      </c>
      <c r="G447" t="s">
        <v>161</v>
      </c>
      <c r="H447" t="s">
        <v>2603</v>
      </c>
      <c r="I447" t="s">
        <v>2603</v>
      </c>
      <c r="J447" t="s">
        <v>2741</v>
      </c>
      <c r="M447" t="s">
        <v>161</v>
      </c>
      <c r="N447" s="54">
        <v>45628.690636574072</v>
      </c>
      <c r="O447" s="54"/>
      <c r="P447" s="54"/>
      <c r="Q447" t="s">
        <v>2613</v>
      </c>
      <c r="R447" t="s">
        <v>161</v>
      </c>
    </row>
    <row r="448" spans="1:18" x14ac:dyDescent="0.3">
      <c r="A448" t="s">
        <v>884</v>
      </c>
      <c r="B448" t="s">
        <v>3207</v>
      </c>
      <c r="C448" t="s">
        <v>2578</v>
      </c>
      <c r="D448" t="s">
        <v>2610</v>
      </c>
      <c r="E448" t="s">
        <v>3211</v>
      </c>
      <c r="F448" t="s">
        <v>2590</v>
      </c>
      <c r="G448" t="s">
        <v>161</v>
      </c>
      <c r="H448" t="s">
        <v>2603</v>
      </c>
      <c r="I448" t="s">
        <v>2603</v>
      </c>
      <c r="J448" t="s">
        <v>2741</v>
      </c>
      <c r="M448" t="s">
        <v>161</v>
      </c>
      <c r="N448" s="54">
        <v>45839.658229166664</v>
      </c>
      <c r="O448" s="54"/>
      <c r="P448" s="54"/>
      <c r="Q448" t="s">
        <v>2613</v>
      </c>
      <c r="R448" t="s">
        <v>161</v>
      </c>
    </row>
    <row r="449" spans="1:18" x14ac:dyDescent="0.3">
      <c r="A449" t="s">
        <v>884</v>
      </c>
      <c r="B449" t="s">
        <v>3207</v>
      </c>
      <c r="C449" t="s">
        <v>2578</v>
      </c>
      <c r="D449" t="s">
        <v>2610</v>
      </c>
      <c r="E449" t="s">
        <v>3212</v>
      </c>
      <c r="F449" t="s">
        <v>2590</v>
      </c>
      <c r="G449" t="s">
        <v>161</v>
      </c>
      <c r="H449" t="s">
        <v>2603</v>
      </c>
      <c r="I449" t="s">
        <v>2603</v>
      </c>
      <c r="J449" t="s">
        <v>2741</v>
      </c>
      <c r="M449" t="s">
        <v>161</v>
      </c>
      <c r="N449" s="54">
        <v>45744.270613425928</v>
      </c>
      <c r="O449" s="54"/>
      <c r="P449" s="54"/>
      <c r="Q449" t="s">
        <v>2613</v>
      </c>
      <c r="R449" t="s">
        <v>161</v>
      </c>
    </row>
    <row r="450" spans="1:18" x14ac:dyDescent="0.3">
      <c r="A450" t="s">
        <v>884</v>
      </c>
      <c r="B450" t="s">
        <v>3207</v>
      </c>
      <c r="C450" t="s">
        <v>2578</v>
      </c>
      <c r="D450" t="s">
        <v>2610</v>
      </c>
      <c r="E450" t="s">
        <v>3213</v>
      </c>
      <c r="F450" t="s">
        <v>2590</v>
      </c>
      <c r="G450" t="s">
        <v>161</v>
      </c>
      <c r="H450" t="s">
        <v>2603</v>
      </c>
      <c r="I450" t="s">
        <v>2603</v>
      </c>
      <c r="J450" t="s">
        <v>2741</v>
      </c>
      <c r="M450" t="s">
        <v>161</v>
      </c>
      <c r="N450" s="54">
        <v>45169.653981481482</v>
      </c>
      <c r="O450" s="54"/>
      <c r="P450" s="54"/>
      <c r="Q450" t="s">
        <v>2613</v>
      </c>
      <c r="R450" t="s">
        <v>161</v>
      </c>
    </row>
    <row r="451" spans="1:18" x14ac:dyDescent="0.3">
      <c r="A451" t="s">
        <v>884</v>
      </c>
      <c r="B451" t="s">
        <v>3207</v>
      </c>
      <c r="C451" t="s">
        <v>2578</v>
      </c>
      <c r="D451" t="s">
        <v>2610</v>
      </c>
      <c r="E451" t="s">
        <v>3214</v>
      </c>
      <c r="F451" t="s">
        <v>2590</v>
      </c>
      <c r="G451" t="s">
        <v>161</v>
      </c>
      <c r="H451" t="s">
        <v>2603</v>
      </c>
      <c r="I451" t="s">
        <v>2603</v>
      </c>
      <c r="J451" t="s">
        <v>2741</v>
      </c>
      <c r="M451" t="s">
        <v>161</v>
      </c>
      <c r="N451" s="54">
        <v>45010.805243055554</v>
      </c>
      <c r="O451" s="54"/>
      <c r="P451" s="54"/>
      <c r="Q451" t="s">
        <v>2613</v>
      </c>
      <c r="R451" t="s">
        <v>161</v>
      </c>
    </row>
    <row r="452" spans="1:18" x14ac:dyDescent="0.3">
      <c r="A452" t="s">
        <v>884</v>
      </c>
      <c r="B452" t="s">
        <v>3207</v>
      </c>
      <c r="C452" t="s">
        <v>2578</v>
      </c>
      <c r="D452" t="s">
        <v>2610</v>
      </c>
      <c r="E452" t="s">
        <v>3215</v>
      </c>
      <c r="F452" t="s">
        <v>2590</v>
      </c>
      <c r="G452" t="s">
        <v>161</v>
      </c>
      <c r="H452" t="s">
        <v>2603</v>
      </c>
      <c r="I452" t="s">
        <v>2603</v>
      </c>
      <c r="J452" t="s">
        <v>2741</v>
      </c>
      <c r="M452" t="s">
        <v>161</v>
      </c>
      <c r="N452" s="54">
        <v>45751.652048611111</v>
      </c>
      <c r="O452" s="54"/>
      <c r="P452" s="54"/>
      <c r="Q452" t="s">
        <v>2613</v>
      </c>
      <c r="R452" t="s">
        <v>161</v>
      </c>
    </row>
    <row r="453" spans="1:18" x14ac:dyDescent="0.3">
      <c r="A453" t="s">
        <v>884</v>
      </c>
      <c r="B453" t="s">
        <v>3207</v>
      </c>
      <c r="C453" t="s">
        <v>2578</v>
      </c>
      <c r="D453" t="s">
        <v>2610</v>
      </c>
      <c r="E453" t="s">
        <v>3216</v>
      </c>
      <c r="F453" t="s">
        <v>2590</v>
      </c>
      <c r="G453" t="s">
        <v>161</v>
      </c>
      <c r="H453" t="s">
        <v>2603</v>
      </c>
      <c r="I453" t="s">
        <v>2603</v>
      </c>
      <c r="J453" t="s">
        <v>2741</v>
      </c>
      <c r="M453" t="s">
        <v>161</v>
      </c>
      <c r="N453" s="54">
        <v>45010.80572916667</v>
      </c>
      <c r="O453" s="54"/>
      <c r="P453" s="54"/>
      <c r="Q453" t="s">
        <v>2613</v>
      </c>
      <c r="R453" t="s">
        <v>161</v>
      </c>
    </row>
    <row r="454" spans="1:18" x14ac:dyDescent="0.3">
      <c r="A454" t="s">
        <v>884</v>
      </c>
      <c r="B454" t="s">
        <v>3207</v>
      </c>
      <c r="C454" t="s">
        <v>2578</v>
      </c>
      <c r="D454" t="s">
        <v>2610</v>
      </c>
      <c r="E454" t="s">
        <v>3217</v>
      </c>
      <c r="F454" t="s">
        <v>2590</v>
      </c>
      <c r="G454" t="s">
        <v>161</v>
      </c>
      <c r="H454" t="s">
        <v>2603</v>
      </c>
      <c r="I454" t="s">
        <v>2603</v>
      </c>
      <c r="J454" t="s">
        <v>2741</v>
      </c>
      <c r="M454" t="s">
        <v>161</v>
      </c>
      <c r="N454" s="54">
        <v>45010.805891203701</v>
      </c>
      <c r="O454" s="54"/>
      <c r="P454" s="54"/>
      <c r="Q454" t="s">
        <v>2613</v>
      </c>
      <c r="R454" t="s">
        <v>161</v>
      </c>
    </row>
    <row r="455" spans="1:18" x14ac:dyDescent="0.3">
      <c r="A455" t="s">
        <v>884</v>
      </c>
      <c r="B455" t="s">
        <v>3207</v>
      </c>
      <c r="C455" t="s">
        <v>2578</v>
      </c>
      <c r="D455" t="s">
        <v>2610</v>
      </c>
      <c r="E455" t="s">
        <v>3218</v>
      </c>
      <c r="F455" t="s">
        <v>2590</v>
      </c>
      <c r="G455" t="s">
        <v>161</v>
      </c>
      <c r="H455" t="s">
        <v>2603</v>
      </c>
      <c r="I455" t="s">
        <v>2603</v>
      </c>
      <c r="J455" t="s">
        <v>2741</v>
      </c>
      <c r="M455" t="s">
        <v>161</v>
      </c>
      <c r="N455" s="54">
        <v>45762.637546296297</v>
      </c>
      <c r="O455" s="54"/>
      <c r="P455" s="54"/>
      <c r="Q455" t="s">
        <v>2613</v>
      </c>
      <c r="R455" t="s">
        <v>161</v>
      </c>
    </row>
    <row r="456" spans="1:18" x14ac:dyDescent="0.3">
      <c r="A456" t="s">
        <v>884</v>
      </c>
      <c r="B456" t="s">
        <v>3207</v>
      </c>
      <c r="C456" t="s">
        <v>2578</v>
      </c>
      <c r="D456" t="s">
        <v>2610</v>
      </c>
      <c r="E456" t="s">
        <v>3219</v>
      </c>
      <c r="F456" t="s">
        <v>2590</v>
      </c>
      <c r="G456" t="s">
        <v>161</v>
      </c>
      <c r="H456" t="s">
        <v>2603</v>
      </c>
      <c r="I456" t="s">
        <v>2603</v>
      </c>
      <c r="J456" t="s">
        <v>2741</v>
      </c>
      <c r="M456" t="s">
        <v>161</v>
      </c>
      <c r="N456" s="54">
        <v>45190.657465277778</v>
      </c>
      <c r="O456" s="54"/>
      <c r="P456" s="54"/>
      <c r="Q456" t="s">
        <v>2613</v>
      </c>
      <c r="R456" t="s">
        <v>161</v>
      </c>
    </row>
    <row r="457" spans="1:18" x14ac:dyDescent="0.3">
      <c r="A457" t="s">
        <v>884</v>
      </c>
      <c r="B457" t="s">
        <v>3207</v>
      </c>
      <c r="C457" t="s">
        <v>2578</v>
      </c>
      <c r="D457" t="s">
        <v>2610</v>
      </c>
      <c r="E457" t="s">
        <v>3220</v>
      </c>
      <c r="F457" t="s">
        <v>2590</v>
      </c>
      <c r="G457" t="s">
        <v>161</v>
      </c>
      <c r="H457" t="s">
        <v>2603</v>
      </c>
      <c r="I457" t="s">
        <v>2603</v>
      </c>
      <c r="J457" t="s">
        <v>2741</v>
      </c>
      <c r="M457" t="s">
        <v>161</v>
      </c>
      <c r="N457" s="54">
        <v>45010.791898148149</v>
      </c>
      <c r="O457" s="54"/>
      <c r="P457" s="54"/>
      <c r="Q457" t="s">
        <v>2613</v>
      </c>
      <c r="R457" t="s">
        <v>161</v>
      </c>
    </row>
    <row r="458" spans="1:18" x14ac:dyDescent="0.3">
      <c r="A458" t="s">
        <v>884</v>
      </c>
      <c r="B458" t="s">
        <v>3221</v>
      </c>
      <c r="C458" t="s">
        <v>2578</v>
      </c>
      <c r="D458" t="s">
        <v>2610</v>
      </c>
      <c r="E458" t="s">
        <v>3222</v>
      </c>
      <c r="F458" t="s">
        <v>2590</v>
      </c>
      <c r="G458" t="s">
        <v>161</v>
      </c>
      <c r="H458" t="s">
        <v>2603</v>
      </c>
      <c r="I458" t="s">
        <v>2603</v>
      </c>
      <c r="J458" t="s">
        <v>2612</v>
      </c>
      <c r="M458" t="s">
        <v>161</v>
      </c>
      <c r="N458" s="54">
        <v>45028.726979166669</v>
      </c>
      <c r="O458" s="54"/>
      <c r="P458" s="54"/>
      <c r="Q458" t="s">
        <v>2613</v>
      </c>
      <c r="R458" t="s">
        <v>161</v>
      </c>
    </row>
    <row r="459" spans="1:18" x14ac:dyDescent="0.3">
      <c r="A459" t="s">
        <v>884</v>
      </c>
      <c r="B459" t="s">
        <v>3221</v>
      </c>
      <c r="C459" t="s">
        <v>2578</v>
      </c>
      <c r="D459" t="s">
        <v>2610</v>
      </c>
      <c r="E459" t="s">
        <v>3223</v>
      </c>
      <c r="F459" t="s">
        <v>2590</v>
      </c>
      <c r="G459" t="s">
        <v>161</v>
      </c>
      <c r="H459" t="s">
        <v>2603</v>
      </c>
      <c r="I459" t="s">
        <v>2603</v>
      </c>
      <c r="J459" t="s">
        <v>2612</v>
      </c>
      <c r="M459" t="s">
        <v>161</v>
      </c>
      <c r="N459" s="54">
        <v>45028.727118055554</v>
      </c>
      <c r="O459" s="54"/>
      <c r="P459" s="54"/>
      <c r="Q459" t="s">
        <v>2613</v>
      </c>
      <c r="R459" t="s">
        <v>161</v>
      </c>
    </row>
    <row r="460" spans="1:18" x14ac:dyDescent="0.3">
      <c r="A460" t="s">
        <v>884</v>
      </c>
      <c r="B460" t="s">
        <v>3221</v>
      </c>
      <c r="C460" t="s">
        <v>2578</v>
      </c>
      <c r="D460" t="s">
        <v>2610</v>
      </c>
      <c r="E460" t="s">
        <v>3224</v>
      </c>
      <c r="F460" t="s">
        <v>2590</v>
      </c>
      <c r="G460" t="s">
        <v>161</v>
      </c>
      <c r="H460" t="s">
        <v>2603</v>
      </c>
      <c r="I460" t="s">
        <v>2603</v>
      </c>
      <c r="J460" t="s">
        <v>2612</v>
      </c>
      <c r="M460" t="s">
        <v>161</v>
      </c>
      <c r="N460" s="54">
        <v>45028.727268518516</v>
      </c>
      <c r="O460" s="54"/>
      <c r="P460" s="54"/>
      <c r="Q460" t="s">
        <v>2613</v>
      </c>
      <c r="R460" t="s">
        <v>161</v>
      </c>
    </row>
    <row r="461" spans="1:18" x14ac:dyDescent="0.3">
      <c r="A461" t="s">
        <v>884</v>
      </c>
      <c r="B461" t="s">
        <v>3221</v>
      </c>
      <c r="C461" t="s">
        <v>2578</v>
      </c>
      <c r="D461" t="s">
        <v>2610</v>
      </c>
      <c r="E461" t="s">
        <v>3225</v>
      </c>
      <c r="F461" t="s">
        <v>2590</v>
      </c>
      <c r="G461" t="s">
        <v>161</v>
      </c>
      <c r="H461" t="s">
        <v>2603</v>
      </c>
      <c r="I461" t="s">
        <v>2603</v>
      </c>
      <c r="J461" t="s">
        <v>2612</v>
      </c>
      <c r="M461" t="s">
        <v>161</v>
      </c>
      <c r="N461" s="54">
        <v>45028.727384259262</v>
      </c>
      <c r="O461" s="54"/>
      <c r="P461" s="54"/>
      <c r="Q461" t="s">
        <v>2613</v>
      </c>
      <c r="R461" t="s">
        <v>161</v>
      </c>
    </row>
    <row r="462" spans="1:18" x14ac:dyDescent="0.3">
      <c r="A462" t="s">
        <v>884</v>
      </c>
      <c r="B462" t="s">
        <v>3221</v>
      </c>
      <c r="C462" t="s">
        <v>2578</v>
      </c>
      <c r="D462" t="s">
        <v>2610</v>
      </c>
      <c r="E462" t="s">
        <v>3226</v>
      </c>
      <c r="F462" t="s">
        <v>2590</v>
      </c>
      <c r="G462" t="s">
        <v>161</v>
      </c>
      <c r="H462" t="s">
        <v>2603</v>
      </c>
      <c r="I462" t="s">
        <v>2603</v>
      </c>
      <c r="J462" t="s">
        <v>2612</v>
      </c>
      <c r="M462" t="s">
        <v>161</v>
      </c>
      <c r="N462" s="54">
        <v>45028.727511574078</v>
      </c>
      <c r="O462" s="54"/>
      <c r="P462" s="54"/>
      <c r="Q462" t="s">
        <v>2613</v>
      </c>
      <c r="R462" t="s">
        <v>161</v>
      </c>
    </row>
    <row r="463" spans="1:18" x14ac:dyDescent="0.3">
      <c r="A463" t="s">
        <v>884</v>
      </c>
      <c r="B463" t="s">
        <v>3221</v>
      </c>
      <c r="C463" t="s">
        <v>2578</v>
      </c>
      <c r="D463" t="s">
        <v>2610</v>
      </c>
      <c r="E463" t="s">
        <v>3227</v>
      </c>
      <c r="F463" t="s">
        <v>2590</v>
      </c>
      <c r="G463" t="s">
        <v>161</v>
      </c>
      <c r="H463" t="s">
        <v>2603</v>
      </c>
      <c r="I463" t="s">
        <v>2603</v>
      </c>
      <c r="J463" t="s">
        <v>2612</v>
      </c>
      <c r="M463" t="s">
        <v>161</v>
      </c>
      <c r="N463" s="54">
        <v>45028.727638888886</v>
      </c>
      <c r="O463" s="54"/>
      <c r="P463" s="54"/>
      <c r="Q463" t="s">
        <v>2613</v>
      </c>
      <c r="R463" t="s">
        <v>161</v>
      </c>
    </row>
    <row r="464" spans="1:18" x14ac:dyDescent="0.3">
      <c r="A464" t="s">
        <v>884</v>
      </c>
      <c r="B464" t="s">
        <v>3221</v>
      </c>
      <c r="C464" t="s">
        <v>2578</v>
      </c>
      <c r="D464" t="s">
        <v>2610</v>
      </c>
      <c r="E464" t="s">
        <v>3228</v>
      </c>
      <c r="F464" t="s">
        <v>2590</v>
      </c>
      <c r="G464" t="s">
        <v>161</v>
      </c>
      <c r="H464" t="s">
        <v>2603</v>
      </c>
      <c r="I464" t="s">
        <v>2603</v>
      </c>
      <c r="J464" t="s">
        <v>2612</v>
      </c>
      <c r="M464" t="s">
        <v>161</v>
      </c>
      <c r="N464" s="54">
        <v>45028.725960648146</v>
      </c>
      <c r="O464" s="54"/>
      <c r="P464" s="54"/>
      <c r="Q464" t="s">
        <v>2613</v>
      </c>
      <c r="R464" t="s">
        <v>161</v>
      </c>
    </row>
    <row r="465" spans="1:18" x14ac:dyDescent="0.3">
      <c r="A465" t="s">
        <v>884</v>
      </c>
      <c r="B465" t="s">
        <v>3221</v>
      </c>
      <c r="C465" t="s">
        <v>2578</v>
      </c>
      <c r="D465" t="s">
        <v>2610</v>
      </c>
      <c r="E465" t="s">
        <v>3229</v>
      </c>
      <c r="F465" t="s">
        <v>2590</v>
      </c>
      <c r="G465" t="s">
        <v>161</v>
      </c>
      <c r="H465" t="s">
        <v>2603</v>
      </c>
      <c r="I465" t="s">
        <v>2603</v>
      </c>
      <c r="J465" t="s">
        <v>2612</v>
      </c>
      <c r="M465" t="s">
        <v>161</v>
      </c>
      <c r="N465" s="54">
        <v>45028.726064814815</v>
      </c>
      <c r="O465" s="54"/>
      <c r="P465" s="54"/>
      <c r="Q465" t="s">
        <v>2613</v>
      </c>
      <c r="R465" t="s">
        <v>161</v>
      </c>
    </row>
    <row r="466" spans="1:18" x14ac:dyDescent="0.3">
      <c r="A466" t="s">
        <v>884</v>
      </c>
      <c r="B466" t="s">
        <v>3221</v>
      </c>
      <c r="C466" t="s">
        <v>2578</v>
      </c>
      <c r="D466" t="s">
        <v>2610</v>
      </c>
      <c r="E466" t="s">
        <v>3230</v>
      </c>
      <c r="F466" t="s">
        <v>2590</v>
      </c>
      <c r="G466" t="s">
        <v>161</v>
      </c>
      <c r="H466" t="s">
        <v>2603</v>
      </c>
      <c r="I466" t="s">
        <v>2603</v>
      </c>
      <c r="J466" t="s">
        <v>2612</v>
      </c>
      <c r="M466" t="s">
        <v>161</v>
      </c>
      <c r="N466" s="54">
        <v>45028.72619212963</v>
      </c>
      <c r="O466" s="54"/>
      <c r="P466" s="54"/>
      <c r="Q466" t="s">
        <v>2613</v>
      </c>
      <c r="R466" t="s">
        <v>161</v>
      </c>
    </row>
    <row r="467" spans="1:18" x14ac:dyDescent="0.3">
      <c r="A467" t="s">
        <v>884</v>
      </c>
      <c r="B467" t="s">
        <v>3221</v>
      </c>
      <c r="C467" t="s">
        <v>2578</v>
      </c>
      <c r="D467" t="s">
        <v>2610</v>
      </c>
      <c r="E467" t="s">
        <v>3231</v>
      </c>
      <c r="F467" t="s">
        <v>2590</v>
      </c>
      <c r="G467" t="s">
        <v>161</v>
      </c>
      <c r="H467" t="s">
        <v>2603</v>
      </c>
      <c r="I467" t="s">
        <v>2603</v>
      </c>
      <c r="J467" t="s">
        <v>2612</v>
      </c>
      <c r="M467" t="s">
        <v>161</v>
      </c>
      <c r="N467" s="54">
        <v>45028.726331018515</v>
      </c>
      <c r="O467" s="54"/>
      <c r="P467" s="54"/>
      <c r="Q467" t="s">
        <v>2613</v>
      </c>
      <c r="R467" t="s">
        <v>161</v>
      </c>
    </row>
    <row r="468" spans="1:18" x14ac:dyDescent="0.3">
      <c r="A468" t="s">
        <v>884</v>
      </c>
      <c r="B468" t="s">
        <v>3221</v>
      </c>
      <c r="C468" t="s">
        <v>2578</v>
      </c>
      <c r="D468" t="s">
        <v>2610</v>
      </c>
      <c r="E468" t="s">
        <v>3232</v>
      </c>
      <c r="F468" t="s">
        <v>2590</v>
      </c>
      <c r="G468" t="s">
        <v>161</v>
      </c>
      <c r="H468" t="s">
        <v>2603</v>
      </c>
      <c r="I468" t="s">
        <v>2603</v>
      </c>
      <c r="J468" t="s">
        <v>2612</v>
      </c>
      <c r="M468" t="s">
        <v>161</v>
      </c>
      <c r="N468" s="54">
        <v>45028.726446759261</v>
      </c>
      <c r="O468" s="54"/>
      <c r="P468" s="54"/>
      <c r="Q468" t="s">
        <v>2613</v>
      </c>
      <c r="R468" t="s">
        <v>161</v>
      </c>
    </row>
    <row r="469" spans="1:18" x14ac:dyDescent="0.3">
      <c r="A469" t="s">
        <v>884</v>
      </c>
      <c r="B469" t="s">
        <v>3221</v>
      </c>
      <c r="C469" t="s">
        <v>2578</v>
      </c>
      <c r="D469" t="s">
        <v>2610</v>
      </c>
      <c r="E469" t="s">
        <v>3233</v>
      </c>
      <c r="F469" t="s">
        <v>2590</v>
      </c>
      <c r="G469" t="s">
        <v>161</v>
      </c>
      <c r="H469" t="s">
        <v>2603</v>
      </c>
      <c r="I469" t="s">
        <v>2603</v>
      </c>
      <c r="J469" t="s">
        <v>2612</v>
      </c>
      <c r="M469" t="s">
        <v>161</v>
      </c>
      <c r="N469" s="54">
        <v>45028.726550925923</v>
      </c>
      <c r="O469" s="54"/>
      <c r="P469" s="54"/>
      <c r="Q469" t="s">
        <v>2613</v>
      </c>
      <c r="R469" t="s">
        <v>161</v>
      </c>
    </row>
    <row r="470" spans="1:18" x14ac:dyDescent="0.3">
      <c r="A470" t="s">
        <v>884</v>
      </c>
      <c r="B470" t="s">
        <v>3221</v>
      </c>
      <c r="C470" t="s">
        <v>2578</v>
      </c>
      <c r="D470" t="s">
        <v>2610</v>
      </c>
      <c r="E470" t="s">
        <v>3234</v>
      </c>
      <c r="F470" t="s">
        <v>2590</v>
      </c>
      <c r="G470" t="s">
        <v>161</v>
      </c>
      <c r="H470" t="s">
        <v>2603</v>
      </c>
      <c r="I470" t="s">
        <v>2603</v>
      </c>
      <c r="J470" t="s">
        <v>2612</v>
      </c>
      <c r="M470" t="s">
        <v>161</v>
      </c>
      <c r="N470" s="54">
        <v>45028.726689814815</v>
      </c>
      <c r="O470" s="54"/>
      <c r="P470" s="54"/>
      <c r="Q470" t="s">
        <v>2613</v>
      </c>
      <c r="R470" t="s">
        <v>161</v>
      </c>
    </row>
    <row r="471" spans="1:18" x14ac:dyDescent="0.3">
      <c r="A471" t="s">
        <v>884</v>
      </c>
      <c r="B471" t="s">
        <v>3221</v>
      </c>
      <c r="C471" t="s">
        <v>2578</v>
      </c>
      <c r="D471" t="s">
        <v>2610</v>
      </c>
      <c r="E471" t="s">
        <v>3235</v>
      </c>
      <c r="F471" t="s">
        <v>2590</v>
      </c>
      <c r="G471" t="s">
        <v>161</v>
      </c>
      <c r="H471" t="s">
        <v>2603</v>
      </c>
      <c r="I471" t="s">
        <v>2603</v>
      </c>
      <c r="J471" t="s">
        <v>2612</v>
      </c>
      <c r="M471" t="s">
        <v>161</v>
      </c>
      <c r="N471" s="54">
        <v>45028.7268287037</v>
      </c>
      <c r="O471" s="54"/>
      <c r="P471" s="54"/>
      <c r="Q471" t="s">
        <v>2613</v>
      </c>
      <c r="R471" t="s">
        <v>161</v>
      </c>
    </row>
    <row r="472" spans="1:18" x14ac:dyDescent="0.3">
      <c r="A472" t="s">
        <v>884</v>
      </c>
      <c r="B472" t="s">
        <v>3221</v>
      </c>
      <c r="C472" t="s">
        <v>2578</v>
      </c>
      <c r="D472" t="s">
        <v>2610</v>
      </c>
      <c r="E472" t="s">
        <v>3236</v>
      </c>
      <c r="F472" t="s">
        <v>2590</v>
      </c>
      <c r="G472" t="s">
        <v>161</v>
      </c>
      <c r="H472" t="s">
        <v>2603</v>
      </c>
      <c r="I472" t="s">
        <v>2603</v>
      </c>
      <c r="J472" t="s">
        <v>2612</v>
      </c>
      <c r="M472" t="s">
        <v>161</v>
      </c>
      <c r="N472" s="54">
        <v>45028.727824074071</v>
      </c>
      <c r="O472" s="54"/>
      <c r="P472" s="54"/>
      <c r="Q472" t="s">
        <v>2613</v>
      </c>
      <c r="R472" t="s">
        <v>161</v>
      </c>
    </row>
    <row r="473" spans="1:18" x14ac:dyDescent="0.3">
      <c r="A473" t="s">
        <v>884</v>
      </c>
      <c r="B473" t="s">
        <v>3221</v>
      </c>
      <c r="C473" t="s">
        <v>2578</v>
      </c>
      <c r="D473" t="s">
        <v>2610</v>
      </c>
      <c r="E473" t="s">
        <v>3237</v>
      </c>
      <c r="F473" t="s">
        <v>2590</v>
      </c>
      <c r="G473" t="s">
        <v>161</v>
      </c>
      <c r="H473" t="s">
        <v>2603</v>
      </c>
      <c r="I473" t="s">
        <v>2603</v>
      </c>
      <c r="J473" t="s">
        <v>2612</v>
      </c>
      <c r="M473" t="s">
        <v>161</v>
      </c>
      <c r="N473" s="54">
        <v>45028.727986111109</v>
      </c>
      <c r="O473" s="54"/>
      <c r="P473" s="54"/>
      <c r="Q473" t="s">
        <v>2613</v>
      </c>
      <c r="R473" t="s">
        <v>161</v>
      </c>
    </row>
    <row r="474" spans="1:18" x14ac:dyDescent="0.3">
      <c r="A474" t="s">
        <v>884</v>
      </c>
      <c r="B474" t="s">
        <v>3221</v>
      </c>
      <c r="C474" t="s">
        <v>2578</v>
      </c>
      <c r="D474" t="s">
        <v>2610</v>
      </c>
      <c r="E474" t="s">
        <v>3238</v>
      </c>
      <c r="F474" t="s">
        <v>2590</v>
      </c>
      <c r="G474" t="s">
        <v>161</v>
      </c>
      <c r="H474" t="s">
        <v>2603</v>
      </c>
      <c r="I474" t="s">
        <v>2603</v>
      </c>
      <c r="J474" t="s">
        <v>2612</v>
      </c>
      <c r="M474" t="s">
        <v>161</v>
      </c>
      <c r="N474" s="54">
        <v>45028.728159722225</v>
      </c>
      <c r="O474" s="54"/>
      <c r="P474" s="54"/>
      <c r="Q474" t="s">
        <v>2613</v>
      </c>
      <c r="R474" t="s">
        <v>161</v>
      </c>
    </row>
    <row r="475" spans="1:18" x14ac:dyDescent="0.3">
      <c r="A475" t="s">
        <v>884</v>
      </c>
      <c r="B475" t="s">
        <v>3221</v>
      </c>
      <c r="C475" t="s">
        <v>2578</v>
      </c>
      <c r="D475" t="s">
        <v>2610</v>
      </c>
      <c r="E475" t="s">
        <v>3239</v>
      </c>
      <c r="F475" t="s">
        <v>2590</v>
      </c>
      <c r="G475" t="s">
        <v>161</v>
      </c>
      <c r="H475" t="s">
        <v>2603</v>
      </c>
      <c r="I475" t="s">
        <v>2603</v>
      </c>
      <c r="J475" t="s">
        <v>2612</v>
      </c>
      <c r="M475" t="s">
        <v>161</v>
      </c>
      <c r="N475" s="54">
        <v>45028.728263888886</v>
      </c>
      <c r="O475" s="54"/>
      <c r="P475" s="54"/>
      <c r="Q475" t="s">
        <v>2613</v>
      </c>
      <c r="R475" t="s">
        <v>161</v>
      </c>
    </row>
    <row r="476" spans="1:18" x14ac:dyDescent="0.3">
      <c r="A476" t="s">
        <v>884</v>
      </c>
      <c r="B476" t="s">
        <v>3240</v>
      </c>
      <c r="C476" t="s">
        <v>2578</v>
      </c>
      <c r="D476" t="s">
        <v>2610</v>
      </c>
      <c r="E476" t="s">
        <v>3241</v>
      </c>
      <c r="F476" t="s">
        <v>2590</v>
      </c>
      <c r="G476" t="s">
        <v>161</v>
      </c>
      <c r="H476" t="s">
        <v>2603</v>
      </c>
      <c r="I476" t="s">
        <v>2603</v>
      </c>
      <c r="J476" t="s">
        <v>2612</v>
      </c>
      <c r="M476" t="s">
        <v>161</v>
      </c>
      <c r="N476" s="54">
        <v>45028.729537037034</v>
      </c>
      <c r="O476" s="54"/>
      <c r="P476" s="54"/>
      <c r="Q476" t="s">
        <v>2613</v>
      </c>
      <c r="R476" t="s">
        <v>161</v>
      </c>
    </row>
    <row r="477" spans="1:18" x14ac:dyDescent="0.3">
      <c r="A477" t="s">
        <v>884</v>
      </c>
      <c r="B477" t="s">
        <v>3240</v>
      </c>
      <c r="C477" t="s">
        <v>2578</v>
      </c>
      <c r="D477" t="s">
        <v>2610</v>
      </c>
      <c r="E477" t="s">
        <v>3242</v>
      </c>
      <c r="F477" t="s">
        <v>2590</v>
      </c>
      <c r="G477" t="s">
        <v>161</v>
      </c>
      <c r="H477" t="s">
        <v>2603</v>
      </c>
      <c r="I477" t="s">
        <v>2603</v>
      </c>
      <c r="J477" t="s">
        <v>2612</v>
      </c>
      <c r="M477" t="s">
        <v>161</v>
      </c>
      <c r="N477" s="54">
        <v>45028.729641203703</v>
      </c>
      <c r="O477" s="54"/>
      <c r="P477" s="54"/>
      <c r="Q477" t="s">
        <v>2613</v>
      </c>
      <c r="R477" t="s">
        <v>161</v>
      </c>
    </row>
    <row r="478" spans="1:18" x14ac:dyDescent="0.3">
      <c r="A478" t="s">
        <v>884</v>
      </c>
      <c r="B478" t="s">
        <v>3240</v>
      </c>
      <c r="C478" t="s">
        <v>2578</v>
      </c>
      <c r="D478" t="s">
        <v>2610</v>
      </c>
      <c r="E478" t="s">
        <v>3243</v>
      </c>
      <c r="F478" t="s">
        <v>2590</v>
      </c>
      <c r="G478" t="s">
        <v>161</v>
      </c>
      <c r="H478" t="s">
        <v>2603</v>
      </c>
      <c r="I478" t="s">
        <v>2603</v>
      </c>
      <c r="J478" t="s">
        <v>2612</v>
      </c>
      <c r="M478" t="s">
        <v>161</v>
      </c>
      <c r="N478" s="54">
        <v>45028.729791666665</v>
      </c>
      <c r="O478" s="54"/>
      <c r="P478" s="54"/>
      <c r="Q478" t="s">
        <v>2613</v>
      </c>
      <c r="R478" t="s">
        <v>161</v>
      </c>
    </row>
    <row r="479" spans="1:18" x14ac:dyDescent="0.3">
      <c r="A479" t="s">
        <v>884</v>
      </c>
      <c r="B479" t="s">
        <v>3240</v>
      </c>
      <c r="C479" t="s">
        <v>2578</v>
      </c>
      <c r="D479" t="s">
        <v>2610</v>
      </c>
      <c r="E479" t="s">
        <v>3244</v>
      </c>
      <c r="F479" t="s">
        <v>2590</v>
      </c>
      <c r="G479" t="s">
        <v>161</v>
      </c>
      <c r="H479" t="s">
        <v>2603</v>
      </c>
      <c r="I479" t="s">
        <v>2603</v>
      </c>
      <c r="J479" t="s">
        <v>2612</v>
      </c>
      <c r="M479" t="s">
        <v>161</v>
      </c>
      <c r="N479" s="54">
        <v>45028.729884259257</v>
      </c>
      <c r="O479" s="54"/>
      <c r="P479" s="54"/>
      <c r="Q479" t="s">
        <v>2613</v>
      </c>
      <c r="R479" t="s">
        <v>161</v>
      </c>
    </row>
    <row r="480" spans="1:18" x14ac:dyDescent="0.3">
      <c r="A480" t="s">
        <v>884</v>
      </c>
      <c r="B480" t="s">
        <v>3240</v>
      </c>
      <c r="C480" t="s">
        <v>2578</v>
      </c>
      <c r="D480" t="s">
        <v>2610</v>
      </c>
      <c r="E480" t="s">
        <v>3245</v>
      </c>
      <c r="F480" t="s">
        <v>2590</v>
      </c>
      <c r="G480" t="s">
        <v>161</v>
      </c>
      <c r="H480" t="s">
        <v>2603</v>
      </c>
      <c r="I480" t="s">
        <v>2603</v>
      </c>
      <c r="J480" t="s">
        <v>2612</v>
      </c>
      <c r="M480" t="s">
        <v>161</v>
      </c>
      <c r="N480" s="54">
        <v>45028.730023148149</v>
      </c>
      <c r="O480" s="54"/>
      <c r="P480" s="54"/>
      <c r="Q480" t="s">
        <v>2613</v>
      </c>
      <c r="R480" t="s">
        <v>161</v>
      </c>
    </row>
    <row r="481" spans="1:18" x14ac:dyDescent="0.3">
      <c r="A481" t="s">
        <v>884</v>
      </c>
      <c r="B481" t="s">
        <v>3240</v>
      </c>
      <c r="C481" t="s">
        <v>2578</v>
      </c>
      <c r="D481" t="s">
        <v>2610</v>
      </c>
      <c r="E481" t="s">
        <v>3246</v>
      </c>
      <c r="F481" t="s">
        <v>2590</v>
      </c>
      <c r="G481" t="s">
        <v>161</v>
      </c>
      <c r="H481" t="s">
        <v>2603</v>
      </c>
      <c r="I481" t="s">
        <v>2603</v>
      </c>
      <c r="J481" t="s">
        <v>2612</v>
      </c>
      <c r="M481" t="s">
        <v>161</v>
      </c>
      <c r="N481" s="54">
        <v>45028.730127314811</v>
      </c>
      <c r="O481" s="54"/>
      <c r="P481" s="54"/>
      <c r="Q481" t="s">
        <v>2613</v>
      </c>
      <c r="R481" t="s">
        <v>161</v>
      </c>
    </row>
    <row r="482" spans="1:18" x14ac:dyDescent="0.3">
      <c r="A482" t="s">
        <v>884</v>
      </c>
      <c r="B482" t="s">
        <v>3240</v>
      </c>
      <c r="C482" t="s">
        <v>2578</v>
      </c>
      <c r="D482" t="s">
        <v>2610</v>
      </c>
      <c r="E482" t="s">
        <v>3247</v>
      </c>
      <c r="F482" t="s">
        <v>2590</v>
      </c>
      <c r="G482" t="s">
        <v>161</v>
      </c>
      <c r="H482" t="s">
        <v>2603</v>
      </c>
      <c r="I482" t="s">
        <v>2603</v>
      </c>
      <c r="J482" t="s">
        <v>2612</v>
      </c>
      <c r="M482" t="s">
        <v>161</v>
      </c>
      <c r="N482" s="54">
        <v>45028.72859953704</v>
      </c>
      <c r="O482" s="54"/>
      <c r="P482" s="54"/>
      <c r="Q482" t="s">
        <v>2613</v>
      </c>
      <c r="R482" t="s">
        <v>161</v>
      </c>
    </row>
    <row r="483" spans="1:18" x14ac:dyDescent="0.3">
      <c r="A483" t="s">
        <v>884</v>
      </c>
      <c r="B483" t="s">
        <v>3240</v>
      </c>
      <c r="C483" t="s">
        <v>2578</v>
      </c>
      <c r="D483" t="s">
        <v>2610</v>
      </c>
      <c r="E483" t="s">
        <v>3248</v>
      </c>
      <c r="F483" t="s">
        <v>2590</v>
      </c>
      <c r="G483" t="s">
        <v>161</v>
      </c>
      <c r="H483" t="s">
        <v>2603</v>
      </c>
      <c r="I483" t="s">
        <v>2603</v>
      </c>
      <c r="J483" t="s">
        <v>2612</v>
      </c>
      <c r="M483" t="s">
        <v>161</v>
      </c>
      <c r="N483" s="54">
        <v>45028.72892361111</v>
      </c>
      <c r="O483" s="54"/>
      <c r="P483" s="54"/>
      <c r="Q483" t="s">
        <v>2613</v>
      </c>
      <c r="R483" t="s">
        <v>161</v>
      </c>
    </row>
    <row r="484" spans="1:18" x14ac:dyDescent="0.3">
      <c r="A484" t="s">
        <v>884</v>
      </c>
      <c r="B484" t="s">
        <v>3240</v>
      </c>
      <c r="C484" t="s">
        <v>2578</v>
      </c>
      <c r="D484" t="s">
        <v>2610</v>
      </c>
      <c r="E484" t="s">
        <v>3249</v>
      </c>
      <c r="F484" t="s">
        <v>2590</v>
      </c>
      <c r="G484" t="s">
        <v>161</v>
      </c>
      <c r="H484" t="s">
        <v>2603</v>
      </c>
      <c r="I484" t="s">
        <v>2603</v>
      </c>
      <c r="J484" t="s">
        <v>2612</v>
      </c>
      <c r="M484" t="s">
        <v>161</v>
      </c>
      <c r="N484" s="54">
        <v>45043.585775462961</v>
      </c>
      <c r="O484" s="54"/>
      <c r="P484" s="54"/>
      <c r="Q484" t="s">
        <v>2613</v>
      </c>
      <c r="R484" t="s">
        <v>161</v>
      </c>
    </row>
    <row r="485" spans="1:18" x14ac:dyDescent="0.3">
      <c r="A485" t="s">
        <v>884</v>
      </c>
      <c r="B485" t="s">
        <v>3240</v>
      </c>
      <c r="C485" t="s">
        <v>2578</v>
      </c>
      <c r="D485" t="s">
        <v>2610</v>
      </c>
      <c r="E485" t="s">
        <v>3250</v>
      </c>
      <c r="F485" t="s">
        <v>2590</v>
      </c>
      <c r="G485" t="s">
        <v>161</v>
      </c>
      <c r="H485" t="s">
        <v>2603</v>
      </c>
      <c r="I485" t="s">
        <v>2603</v>
      </c>
      <c r="J485" t="s">
        <v>2612</v>
      </c>
      <c r="M485" t="s">
        <v>161</v>
      </c>
      <c r="N485" s="54">
        <v>45028.729143518518</v>
      </c>
      <c r="O485" s="54"/>
      <c r="P485" s="54"/>
      <c r="Q485" t="s">
        <v>2613</v>
      </c>
      <c r="R485" t="s">
        <v>161</v>
      </c>
    </row>
    <row r="486" spans="1:18" x14ac:dyDescent="0.3">
      <c r="A486" t="s">
        <v>884</v>
      </c>
      <c r="B486" t="s">
        <v>3240</v>
      </c>
      <c r="C486" t="s">
        <v>2578</v>
      </c>
      <c r="D486" t="s">
        <v>2610</v>
      </c>
      <c r="E486" t="s">
        <v>3251</v>
      </c>
      <c r="F486" t="s">
        <v>2590</v>
      </c>
      <c r="G486" t="s">
        <v>161</v>
      </c>
      <c r="H486" t="s">
        <v>2603</v>
      </c>
      <c r="I486" t="s">
        <v>2603</v>
      </c>
      <c r="J486" t="s">
        <v>2612</v>
      </c>
      <c r="M486" t="s">
        <v>161</v>
      </c>
      <c r="N486" s="54">
        <v>45028.729270833333</v>
      </c>
      <c r="O486" s="54"/>
      <c r="P486" s="54"/>
      <c r="Q486" t="s">
        <v>2613</v>
      </c>
      <c r="R486" t="s">
        <v>161</v>
      </c>
    </row>
    <row r="487" spans="1:18" x14ac:dyDescent="0.3">
      <c r="A487" t="s">
        <v>884</v>
      </c>
      <c r="B487" t="s">
        <v>3240</v>
      </c>
      <c r="C487" t="s">
        <v>2578</v>
      </c>
      <c r="D487" t="s">
        <v>2610</v>
      </c>
      <c r="E487" t="s">
        <v>3252</v>
      </c>
      <c r="F487" t="s">
        <v>2590</v>
      </c>
      <c r="G487" t="s">
        <v>161</v>
      </c>
      <c r="H487" t="s">
        <v>2603</v>
      </c>
      <c r="I487" t="s">
        <v>2603</v>
      </c>
      <c r="J487" t="s">
        <v>2612</v>
      </c>
      <c r="M487" t="s">
        <v>161</v>
      </c>
      <c r="N487" s="54">
        <v>45028.729363425926</v>
      </c>
      <c r="O487" s="54"/>
      <c r="P487" s="54"/>
      <c r="Q487" t="s">
        <v>2613</v>
      </c>
      <c r="R487" t="s">
        <v>161</v>
      </c>
    </row>
    <row r="488" spans="1:18" x14ac:dyDescent="0.3">
      <c r="A488" t="s">
        <v>884</v>
      </c>
      <c r="B488" t="s">
        <v>3240</v>
      </c>
      <c r="C488" t="s">
        <v>2578</v>
      </c>
      <c r="D488" t="s">
        <v>2610</v>
      </c>
      <c r="E488" t="s">
        <v>3253</v>
      </c>
      <c r="F488" t="s">
        <v>2590</v>
      </c>
      <c r="G488" t="s">
        <v>161</v>
      </c>
      <c r="H488" t="s">
        <v>2603</v>
      </c>
      <c r="I488" t="s">
        <v>2603</v>
      </c>
      <c r="J488" t="s">
        <v>2612</v>
      </c>
      <c r="M488" t="s">
        <v>161</v>
      </c>
      <c r="N488" s="54">
        <v>45028.728796296295</v>
      </c>
      <c r="O488" s="54"/>
      <c r="P488" s="54"/>
      <c r="Q488" t="s">
        <v>2613</v>
      </c>
      <c r="R488" t="s">
        <v>161</v>
      </c>
    </row>
    <row r="489" spans="1:18" x14ac:dyDescent="0.3">
      <c r="A489" t="s">
        <v>884</v>
      </c>
      <c r="B489" t="s">
        <v>3240</v>
      </c>
      <c r="C489" t="s">
        <v>2578</v>
      </c>
      <c r="D489" t="s">
        <v>2610</v>
      </c>
      <c r="E489" t="s">
        <v>3254</v>
      </c>
      <c r="F489" t="s">
        <v>2590</v>
      </c>
      <c r="G489" t="s">
        <v>161</v>
      </c>
      <c r="H489" t="s">
        <v>2603</v>
      </c>
      <c r="I489" t="s">
        <v>2603</v>
      </c>
      <c r="J489" t="s">
        <v>2612</v>
      </c>
      <c r="M489" t="s">
        <v>161</v>
      </c>
      <c r="N489" s="54">
        <v>45028.730254629627</v>
      </c>
      <c r="O489" s="54"/>
      <c r="P489" s="54"/>
      <c r="Q489" t="s">
        <v>2613</v>
      </c>
      <c r="R489" t="s">
        <v>161</v>
      </c>
    </row>
    <row r="490" spans="1:18" x14ac:dyDescent="0.3">
      <c r="A490" t="s">
        <v>884</v>
      </c>
      <c r="B490" t="s">
        <v>3240</v>
      </c>
      <c r="C490" t="s">
        <v>2578</v>
      </c>
      <c r="D490" t="s">
        <v>2610</v>
      </c>
      <c r="E490" t="s">
        <v>3255</v>
      </c>
      <c r="F490" t="s">
        <v>2590</v>
      </c>
      <c r="G490" t="s">
        <v>161</v>
      </c>
      <c r="H490" t="s">
        <v>2603</v>
      </c>
      <c r="I490" t="s">
        <v>2603</v>
      </c>
      <c r="J490" t="s">
        <v>2612</v>
      </c>
      <c r="M490" t="s">
        <v>161</v>
      </c>
      <c r="N490" s="54">
        <v>45028.730347222219</v>
      </c>
      <c r="O490" s="54"/>
      <c r="P490" s="54"/>
      <c r="Q490" t="s">
        <v>2613</v>
      </c>
      <c r="R490" t="s">
        <v>161</v>
      </c>
    </row>
    <row r="491" spans="1:18" x14ac:dyDescent="0.3">
      <c r="A491" t="s">
        <v>884</v>
      </c>
      <c r="B491" t="s">
        <v>3256</v>
      </c>
      <c r="C491" t="s">
        <v>2578</v>
      </c>
      <c r="D491" t="s">
        <v>2610</v>
      </c>
      <c r="E491" t="s">
        <v>3257</v>
      </c>
      <c r="F491" t="s">
        <v>2590</v>
      </c>
      <c r="G491" t="s">
        <v>161</v>
      </c>
      <c r="H491" t="s">
        <v>2603</v>
      </c>
      <c r="I491" t="s">
        <v>2603</v>
      </c>
      <c r="J491" t="s">
        <v>2612</v>
      </c>
      <c r="M491" t="s">
        <v>161</v>
      </c>
      <c r="N491" s="54">
        <v>45028.731076388889</v>
      </c>
      <c r="O491" s="54"/>
      <c r="P491" s="54"/>
      <c r="Q491" t="s">
        <v>2613</v>
      </c>
      <c r="R491" t="s">
        <v>161</v>
      </c>
    </row>
    <row r="492" spans="1:18" x14ac:dyDescent="0.3">
      <c r="A492" t="s">
        <v>884</v>
      </c>
      <c r="B492" t="s">
        <v>3256</v>
      </c>
      <c r="C492" t="s">
        <v>2578</v>
      </c>
      <c r="D492" t="s">
        <v>2610</v>
      </c>
      <c r="E492" t="s">
        <v>3258</v>
      </c>
      <c r="F492" t="s">
        <v>2590</v>
      </c>
      <c r="G492" t="s">
        <v>161</v>
      </c>
      <c r="H492" t="s">
        <v>2603</v>
      </c>
      <c r="I492" t="s">
        <v>2603</v>
      </c>
      <c r="J492" t="s">
        <v>2612</v>
      </c>
      <c r="M492" t="s">
        <v>161</v>
      </c>
      <c r="N492" s="54">
        <v>45028.731180555558</v>
      </c>
      <c r="O492" s="54"/>
      <c r="P492" s="54"/>
      <c r="Q492" t="s">
        <v>2613</v>
      </c>
      <c r="R492" t="s">
        <v>161</v>
      </c>
    </row>
    <row r="493" spans="1:18" x14ac:dyDescent="0.3">
      <c r="A493" t="s">
        <v>884</v>
      </c>
      <c r="B493" t="s">
        <v>3256</v>
      </c>
      <c r="C493" t="s">
        <v>2578</v>
      </c>
      <c r="D493" t="s">
        <v>2610</v>
      </c>
      <c r="E493" t="s">
        <v>3259</v>
      </c>
      <c r="F493" t="s">
        <v>2590</v>
      </c>
      <c r="G493" t="s">
        <v>161</v>
      </c>
      <c r="H493" t="s">
        <v>2603</v>
      </c>
      <c r="I493" t="s">
        <v>2603</v>
      </c>
      <c r="J493" t="s">
        <v>2612</v>
      </c>
      <c r="M493" t="s">
        <v>161</v>
      </c>
      <c r="N493" s="54">
        <v>45028.73128472222</v>
      </c>
      <c r="O493" s="54"/>
      <c r="P493" s="54"/>
      <c r="Q493" t="s">
        <v>2613</v>
      </c>
      <c r="R493" t="s">
        <v>161</v>
      </c>
    </row>
    <row r="494" spans="1:18" x14ac:dyDescent="0.3">
      <c r="A494" t="s">
        <v>884</v>
      </c>
      <c r="B494" t="s">
        <v>3256</v>
      </c>
      <c r="C494" t="s">
        <v>2578</v>
      </c>
      <c r="D494" t="s">
        <v>2610</v>
      </c>
      <c r="E494" t="s">
        <v>3260</v>
      </c>
      <c r="F494" t="s">
        <v>2590</v>
      </c>
      <c r="G494" t="s">
        <v>161</v>
      </c>
      <c r="H494" t="s">
        <v>2603</v>
      </c>
      <c r="I494" t="s">
        <v>2603</v>
      </c>
      <c r="J494" t="s">
        <v>2612</v>
      </c>
      <c r="M494" t="s">
        <v>161</v>
      </c>
      <c r="N494" s="54">
        <v>45028.731805555559</v>
      </c>
      <c r="O494" s="54"/>
      <c r="P494" s="54"/>
      <c r="Q494" t="s">
        <v>2613</v>
      </c>
      <c r="R494" t="s">
        <v>161</v>
      </c>
    </row>
    <row r="495" spans="1:18" x14ac:dyDescent="0.3">
      <c r="A495" t="s">
        <v>884</v>
      </c>
      <c r="B495" t="s">
        <v>3256</v>
      </c>
      <c r="C495" t="s">
        <v>2578</v>
      </c>
      <c r="D495" t="s">
        <v>2610</v>
      </c>
      <c r="E495" t="s">
        <v>3261</v>
      </c>
      <c r="F495" t="s">
        <v>2590</v>
      </c>
      <c r="G495" t="s">
        <v>161</v>
      </c>
      <c r="H495" t="s">
        <v>2603</v>
      </c>
      <c r="I495" t="s">
        <v>2603</v>
      </c>
      <c r="J495" t="s">
        <v>2612</v>
      </c>
      <c r="M495" t="s">
        <v>161</v>
      </c>
      <c r="N495" s="54">
        <v>45028.732199074075</v>
      </c>
      <c r="O495" s="54"/>
      <c r="P495" s="54"/>
      <c r="Q495" t="s">
        <v>2613</v>
      </c>
      <c r="R495" t="s">
        <v>161</v>
      </c>
    </row>
    <row r="496" spans="1:18" x14ac:dyDescent="0.3">
      <c r="A496" t="s">
        <v>884</v>
      </c>
      <c r="B496" t="s">
        <v>3256</v>
      </c>
      <c r="C496" t="s">
        <v>2578</v>
      </c>
      <c r="D496" t="s">
        <v>2610</v>
      </c>
      <c r="E496" t="s">
        <v>3262</v>
      </c>
      <c r="F496" t="s">
        <v>2590</v>
      </c>
      <c r="G496" t="s">
        <v>161</v>
      </c>
      <c r="H496" t="s">
        <v>2603</v>
      </c>
      <c r="I496" t="s">
        <v>2603</v>
      </c>
      <c r="J496" t="s">
        <v>2612</v>
      </c>
      <c r="M496" t="s">
        <v>161</v>
      </c>
      <c r="N496" s="54">
        <v>45028.732303240744</v>
      </c>
      <c r="O496" s="54"/>
      <c r="P496" s="54"/>
      <c r="Q496" t="s">
        <v>2613</v>
      </c>
      <c r="R496" t="s">
        <v>161</v>
      </c>
    </row>
    <row r="497" spans="1:18" x14ac:dyDescent="0.3">
      <c r="A497" t="s">
        <v>884</v>
      </c>
      <c r="B497" t="s">
        <v>3256</v>
      </c>
      <c r="C497" t="s">
        <v>2578</v>
      </c>
      <c r="D497" t="s">
        <v>2610</v>
      </c>
      <c r="E497" t="s">
        <v>3263</v>
      </c>
      <c r="F497" t="s">
        <v>2590</v>
      </c>
      <c r="G497" t="s">
        <v>161</v>
      </c>
      <c r="H497" t="s">
        <v>2603</v>
      </c>
      <c r="I497" t="s">
        <v>2603</v>
      </c>
      <c r="J497" t="s">
        <v>2612</v>
      </c>
      <c r="M497" t="s">
        <v>161</v>
      </c>
      <c r="N497" s="54">
        <v>45028.730706018519</v>
      </c>
      <c r="O497" s="54"/>
      <c r="P497" s="54"/>
      <c r="Q497" t="s">
        <v>2613</v>
      </c>
      <c r="R497" t="s">
        <v>161</v>
      </c>
    </row>
    <row r="498" spans="1:18" x14ac:dyDescent="0.3">
      <c r="A498" t="s">
        <v>884</v>
      </c>
      <c r="B498" t="s">
        <v>3256</v>
      </c>
      <c r="C498" t="s">
        <v>2578</v>
      </c>
      <c r="D498" t="s">
        <v>2610</v>
      </c>
      <c r="E498" t="s">
        <v>3264</v>
      </c>
      <c r="F498" t="s">
        <v>2590</v>
      </c>
      <c r="G498" t="s">
        <v>161</v>
      </c>
      <c r="H498" t="s">
        <v>2603</v>
      </c>
      <c r="I498" t="s">
        <v>2603</v>
      </c>
      <c r="J498" t="s">
        <v>2612</v>
      </c>
      <c r="M498" t="s">
        <v>161</v>
      </c>
      <c r="N498" s="54">
        <v>45028.730833333335</v>
      </c>
      <c r="O498" s="54"/>
      <c r="P498" s="54"/>
      <c r="Q498" t="s">
        <v>2613</v>
      </c>
      <c r="R498" t="s">
        <v>161</v>
      </c>
    </row>
    <row r="499" spans="1:18" x14ac:dyDescent="0.3">
      <c r="A499" t="s">
        <v>884</v>
      </c>
      <c r="B499" t="s">
        <v>3256</v>
      </c>
      <c r="C499" t="s">
        <v>2578</v>
      </c>
      <c r="D499" t="s">
        <v>2610</v>
      </c>
      <c r="E499" t="s">
        <v>3265</v>
      </c>
      <c r="F499" t="s">
        <v>2590</v>
      </c>
      <c r="G499" t="s">
        <v>161</v>
      </c>
      <c r="H499" t="s">
        <v>2603</v>
      </c>
      <c r="I499" t="s">
        <v>2603</v>
      </c>
      <c r="J499" t="s">
        <v>2612</v>
      </c>
      <c r="M499" t="s">
        <v>161</v>
      </c>
      <c r="N499" s="54">
        <v>45547.908541666664</v>
      </c>
      <c r="O499" s="54"/>
      <c r="P499" s="54"/>
      <c r="Q499" t="s">
        <v>2613</v>
      </c>
      <c r="R499" t="s">
        <v>161</v>
      </c>
    </row>
    <row r="500" spans="1:18" x14ac:dyDescent="0.3">
      <c r="A500" t="s">
        <v>884</v>
      </c>
      <c r="B500" t="s">
        <v>3256</v>
      </c>
      <c r="C500" t="s">
        <v>2578</v>
      </c>
      <c r="D500" t="s">
        <v>2610</v>
      </c>
      <c r="E500" t="s">
        <v>3266</v>
      </c>
      <c r="F500" t="s">
        <v>2590</v>
      </c>
      <c r="G500" t="s">
        <v>161</v>
      </c>
      <c r="H500" t="s">
        <v>2603</v>
      </c>
      <c r="I500" t="s">
        <v>2603</v>
      </c>
      <c r="J500" t="s">
        <v>2612</v>
      </c>
      <c r="M500" t="s">
        <v>161</v>
      </c>
      <c r="N500" s="54">
        <v>45028.731412037036</v>
      </c>
      <c r="O500" s="54"/>
      <c r="P500" s="54"/>
      <c r="Q500" t="s">
        <v>2613</v>
      </c>
      <c r="R500" t="s">
        <v>161</v>
      </c>
    </row>
    <row r="501" spans="1:18" x14ac:dyDescent="0.3">
      <c r="A501" t="s">
        <v>884</v>
      </c>
      <c r="B501" t="s">
        <v>3256</v>
      </c>
      <c r="C501" t="s">
        <v>2578</v>
      </c>
      <c r="D501" t="s">
        <v>2610</v>
      </c>
      <c r="E501" t="s">
        <v>3267</v>
      </c>
      <c r="F501" t="s">
        <v>2590</v>
      </c>
      <c r="G501" t="s">
        <v>161</v>
      </c>
      <c r="H501" t="s">
        <v>2603</v>
      </c>
      <c r="I501" t="s">
        <v>2603</v>
      </c>
      <c r="J501" t="s">
        <v>2612</v>
      </c>
      <c r="M501" t="s">
        <v>161</v>
      </c>
      <c r="N501" s="54">
        <v>45028.731539351851</v>
      </c>
      <c r="O501" s="54"/>
      <c r="P501" s="54"/>
      <c r="Q501" t="s">
        <v>2613</v>
      </c>
      <c r="R501" t="s">
        <v>161</v>
      </c>
    </row>
    <row r="502" spans="1:18" x14ac:dyDescent="0.3">
      <c r="A502" t="s">
        <v>884</v>
      </c>
      <c r="B502" t="s">
        <v>3256</v>
      </c>
      <c r="C502" t="s">
        <v>2578</v>
      </c>
      <c r="D502" t="s">
        <v>2610</v>
      </c>
      <c r="E502" t="s">
        <v>3268</v>
      </c>
      <c r="F502" t="s">
        <v>2590</v>
      </c>
      <c r="G502" t="s">
        <v>161</v>
      </c>
      <c r="H502" t="s">
        <v>2603</v>
      </c>
      <c r="I502" t="s">
        <v>2603</v>
      </c>
      <c r="J502" t="s">
        <v>2612</v>
      </c>
      <c r="M502" t="s">
        <v>161</v>
      </c>
      <c r="N502" s="54">
        <v>45028.731689814813</v>
      </c>
      <c r="O502" s="54"/>
      <c r="P502" s="54"/>
      <c r="Q502" t="s">
        <v>2613</v>
      </c>
      <c r="R502" t="s">
        <v>161</v>
      </c>
    </row>
    <row r="503" spans="1:18" x14ac:dyDescent="0.3">
      <c r="A503" t="s">
        <v>884</v>
      </c>
      <c r="B503" t="s">
        <v>3256</v>
      </c>
      <c r="C503" t="s">
        <v>2578</v>
      </c>
      <c r="D503" t="s">
        <v>2610</v>
      </c>
      <c r="E503" t="s">
        <v>3269</v>
      </c>
      <c r="F503" t="s">
        <v>2590</v>
      </c>
      <c r="G503" t="s">
        <v>161</v>
      </c>
      <c r="H503" t="s">
        <v>2603</v>
      </c>
      <c r="I503" t="s">
        <v>2603</v>
      </c>
      <c r="J503" t="s">
        <v>2612</v>
      </c>
      <c r="M503" t="s">
        <v>161</v>
      </c>
      <c r="N503" s="54">
        <v>45028.734247685185</v>
      </c>
      <c r="O503" s="54"/>
      <c r="P503" s="54"/>
      <c r="Q503" t="s">
        <v>2613</v>
      </c>
      <c r="R503" t="s">
        <v>161</v>
      </c>
    </row>
    <row r="504" spans="1:18" x14ac:dyDescent="0.3">
      <c r="A504" t="s">
        <v>884</v>
      </c>
      <c r="B504" t="s">
        <v>3256</v>
      </c>
      <c r="C504" t="s">
        <v>2578</v>
      </c>
      <c r="D504" t="s">
        <v>2610</v>
      </c>
      <c r="E504" t="s">
        <v>3270</v>
      </c>
      <c r="F504" t="s">
        <v>2590</v>
      </c>
      <c r="G504" t="s">
        <v>161</v>
      </c>
      <c r="H504" t="s">
        <v>2603</v>
      </c>
      <c r="I504" t="s">
        <v>2603</v>
      </c>
      <c r="J504" t="s">
        <v>2612</v>
      </c>
      <c r="M504" t="s">
        <v>161</v>
      </c>
      <c r="N504" s="54">
        <v>45028.734444444446</v>
      </c>
      <c r="O504" s="54"/>
      <c r="P504" s="54"/>
      <c r="Q504" t="s">
        <v>2613</v>
      </c>
      <c r="R504" t="s">
        <v>161</v>
      </c>
    </row>
    <row r="505" spans="1:18" x14ac:dyDescent="0.3">
      <c r="A505" t="s">
        <v>884</v>
      </c>
      <c r="B505" t="s">
        <v>3256</v>
      </c>
      <c r="C505" t="s">
        <v>2578</v>
      </c>
      <c r="D505" t="s">
        <v>2610</v>
      </c>
      <c r="E505" t="s">
        <v>3271</v>
      </c>
      <c r="F505" t="s">
        <v>2590</v>
      </c>
      <c r="G505" t="s">
        <v>161</v>
      </c>
      <c r="H505" t="s">
        <v>2603</v>
      </c>
      <c r="I505" t="s">
        <v>2603</v>
      </c>
      <c r="J505" t="s">
        <v>2612</v>
      </c>
      <c r="M505" t="s">
        <v>161</v>
      </c>
      <c r="N505" s="54">
        <v>45028.732442129629</v>
      </c>
      <c r="O505" s="54"/>
      <c r="P505" s="54"/>
      <c r="Q505" t="s">
        <v>2613</v>
      </c>
      <c r="R505" t="s">
        <v>161</v>
      </c>
    </row>
    <row r="506" spans="1:18" x14ac:dyDescent="0.3">
      <c r="A506" t="s">
        <v>884</v>
      </c>
      <c r="B506" t="s">
        <v>3256</v>
      </c>
      <c r="C506" t="s">
        <v>2578</v>
      </c>
      <c r="D506" t="s">
        <v>2610</v>
      </c>
      <c r="E506" t="s">
        <v>3272</v>
      </c>
      <c r="F506" t="s">
        <v>2590</v>
      </c>
      <c r="G506" t="s">
        <v>161</v>
      </c>
      <c r="H506" t="s">
        <v>2603</v>
      </c>
      <c r="I506" t="s">
        <v>2603</v>
      </c>
      <c r="J506" t="s">
        <v>2612</v>
      </c>
      <c r="M506" t="s">
        <v>161</v>
      </c>
      <c r="N506" s="54">
        <v>45028.732546296298</v>
      </c>
      <c r="O506" s="54"/>
      <c r="P506" s="54"/>
      <c r="Q506" t="s">
        <v>2613</v>
      </c>
      <c r="R506" t="s">
        <v>161</v>
      </c>
    </row>
    <row r="507" spans="1:18" x14ac:dyDescent="0.3">
      <c r="A507" t="s">
        <v>884</v>
      </c>
      <c r="B507" t="s">
        <v>3256</v>
      </c>
      <c r="C507" t="s">
        <v>2578</v>
      </c>
      <c r="D507" t="s">
        <v>2610</v>
      </c>
      <c r="E507" t="s">
        <v>3273</v>
      </c>
      <c r="F507" t="s">
        <v>2590</v>
      </c>
      <c r="G507" t="s">
        <v>161</v>
      </c>
      <c r="H507" t="s">
        <v>2603</v>
      </c>
      <c r="I507" t="s">
        <v>2603</v>
      </c>
      <c r="J507" t="s">
        <v>2612</v>
      </c>
      <c r="M507" t="s">
        <v>161</v>
      </c>
      <c r="N507" s="54">
        <v>45028.732731481483</v>
      </c>
      <c r="O507" s="54"/>
      <c r="P507" s="54"/>
      <c r="Q507" t="s">
        <v>2613</v>
      </c>
      <c r="R507" t="s">
        <v>161</v>
      </c>
    </row>
    <row r="508" spans="1:18" x14ac:dyDescent="0.3">
      <c r="A508" t="s">
        <v>884</v>
      </c>
      <c r="B508" t="s">
        <v>3256</v>
      </c>
      <c r="C508" t="s">
        <v>2578</v>
      </c>
      <c r="D508" t="s">
        <v>2610</v>
      </c>
      <c r="E508" t="s">
        <v>3274</v>
      </c>
      <c r="F508" t="s">
        <v>2590</v>
      </c>
      <c r="G508" t="s">
        <v>161</v>
      </c>
      <c r="H508" t="s">
        <v>2603</v>
      </c>
      <c r="I508" t="s">
        <v>2603</v>
      </c>
      <c r="J508" t="s">
        <v>2612</v>
      </c>
      <c r="M508" t="s">
        <v>161</v>
      </c>
      <c r="N508" s="54">
        <v>45028.733263888891</v>
      </c>
      <c r="O508" s="54"/>
      <c r="P508" s="54"/>
      <c r="Q508" t="s">
        <v>2613</v>
      </c>
      <c r="R508" t="s">
        <v>161</v>
      </c>
    </row>
    <row r="509" spans="1:18" x14ac:dyDescent="0.3">
      <c r="A509" t="s">
        <v>884</v>
      </c>
      <c r="B509" t="s">
        <v>3256</v>
      </c>
      <c r="C509" t="s">
        <v>2578</v>
      </c>
      <c r="D509" t="s">
        <v>2610</v>
      </c>
      <c r="E509" t="s">
        <v>3275</v>
      </c>
      <c r="F509" t="s">
        <v>2590</v>
      </c>
      <c r="G509" t="s">
        <v>161</v>
      </c>
      <c r="H509" t="s">
        <v>2603</v>
      </c>
      <c r="I509" t="s">
        <v>2603</v>
      </c>
      <c r="J509" t="s">
        <v>2612</v>
      </c>
      <c r="M509" t="s">
        <v>161</v>
      </c>
      <c r="N509" s="54">
        <v>45028.735902777778</v>
      </c>
      <c r="O509" s="54"/>
      <c r="P509" s="54"/>
      <c r="Q509" t="s">
        <v>2613</v>
      </c>
      <c r="R509" t="s">
        <v>161</v>
      </c>
    </row>
    <row r="510" spans="1:18" x14ac:dyDescent="0.3">
      <c r="A510" t="s">
        <v>884</v>
      </c>
      <c r="B510" t="s">
        <v>3256</v>
      </c>
      <c r="C510" t="s">
        <v>2578</v>
      </c>
      <c r="D510" t="s">
        <v>2610</v>
      </c>
      <c r="E510" t="s">
        <v>3276</v>
      </c>
      <c r="F510" t="s">
        <v>2590</v>
      </c>
      <c r="G510" t="s">
        <v>161</v>
      </c>
      <c r="H510" t="s">
        <v>2603</v>
      </c>
      <c r="I510" t="s">
        <v>2603</v>
      </c>
      <c r="J510" t="s">
        <v>2612</v>
      </c>
      <c r="M510" t="s">
        <v>161</v>
      </c>
      <c r="N510" s="54">
        <v>45028.735995370371</v>
      </c>
      <c r="O510" s="54"/>
      <c r="P510" s="54"/>
      <c r="Q510" t="s">
        <v>2613</v>
      </c>
      <c r="R510" t="s">
        <v>161</v>
      </c>
    </row>
    <row r="511" spans="1:18" x14ac:dyDescent="0.3">
      <c r="A511" t="s">
        <v>884</v>
      </c>
      <c r="B511" t="s">
        <v>3256</v>
      </c>
      <c r="C511" t="s">
        <v>2578</v>
      </c>
      <c r="D511" t="s">
        <v>2610</v>
      </c>
      <c r="E511" t="s">
        <v>3277</v>
      </c>
      <c r="F511" t="s">
        <v>2590</v>
      </c>
      <c r="G511" t="s">
        <v>161</v>
      </c>
      <c r="H511" t="s">
        <v>2603</v>
      </c>
      <c r="I511" t="s">
        <v>2603</v>
      </c>
      <c r="J511" t="s">
        <v>2612</v>
      </c>
      <c r="M511" t="s">
        <v>161</v>
      </c>
      <c r="N511" s="54">
        <v>45028.734571759262</v>
      </c>
      <c r="O511" s="54"/>
      <c r="P511" s="54"/>
      <c r="Q511" t="s">
        <v>2613</v>
      </c>
      <c r="R511" t="s">
        <v>161</v>
      </c>
    </row>
    <row r="512" spans="1:18" x14ac:dyDescent="0.3">
      <c r="A512" t="s">
        <v>884</v>
      </c>
      <c r="B512" t="s">
        <v>3256</v>
      </c>
      <c r="C512" t="s">
        <v>2578</v>
      </c>
      <c r="D512" t="s">
        <v>2610</v>
      </c>
      <c r="E512" t="s">
        <v>3278</v>
      </c>
      <c r="F512" t="s">
        <v>2590</v>
      </c>
      <c r="G512" t="s">
        <v>161</v>
      </c>
      <c r="H512" t="s">
        <v>2603</v>
      </c>
      <c r="I512" t="s">
        <v>2603</v>
      </c>
      <c r="J512" t="s">
        <v>2612</v>
      </c>
      <c r="M512" t="s">
        <v>161</v>
      </c>
      <c r="N512" s="54">
        <v>45028.734675925924</v>
      </c>
      <c r="O512" s="54"/>
      <c r="P512" s="54"/>
      <c r="Q512" t="s">
        <v>2613</v>
      </c>
      <c r="R512" t="s">
        <v>161</v>
      </c>
    </row>
    <row r="513" spans="1:18" x14ac:dyDescent="0.3">
      <c r="A513" t="s">
        <v>884</v>
      </c>
      <c r="B513" t="s">
        <v>3256</v>
      </c>
      <c r="C513" t="s">
        <v>2578</v>
      </c>
      <c r="D513" t="s">
        <v>2610</v>
      </c>
      <c r="E513" t="s">
        <v>3279</v>
      </c>
      <c r="F513" t="s">
        <v>2590</v>
      </c>
      <c r="G513" t="s">
        <v>161</v>
      </c>
      <c r="H513" t="s">
        <v>2603</v>
      </c>
      <c r="I513" t="s">
        <v>2603</v>
      </c>
      <c r="J513" t="s">
        <v>2612</v>
      </c>
      <c r="M513" t="s">
        <v>161</v>
      </c>
      <c r="N513" s="54">
        <v>45028.735081018516</v>
      </c>
      <c r="O513" s="54"/>
      <c r="P513" s="54"/>
      <c r="Q513" t="s">
        <v>2613</v>
      </c>
      <c r="R513" t="s">
        <v>161</v>
      </c>
    </row>
    <row r="514" spans="1:18" x14ac:dyDescent="0.3">
      <c r="A514" t="s">
        <v>884</v>
      </c>
      <c r="B514" t="s">
        <v>3256</v>
      </c>
      <c r="C514" t="s">
        <v>2578</v>
      </c>
      <c r="D514" t="s">
        <v>2610</v>
      </c>
      <c r="E514" t="s">
        <v>3280</v>
      </c>
      <c r="F514" t="s">
        <v>2590</v>
      </c>
      <c r="G514" t="s">
        <v>161</v>
      </c>
      <c r="H514" t="s">
        <v>2603</v>
      </c>
      <c r="I514" t="s">
        <v>2603</v>
      </c>
      <c r="J514" t="s">
        <v>2612</v>
      </c>
      <c r="M514" t="s">
        <v>161</v>
      </c>
      <c r="N514" s="54">
        <v>45028.735185185185</v>
      </c>
      <c r="O514" s="54"/>
      <c r="P514" s="54"/>
      <c r="Q514" t="s">
        <v>2613</v>
      </c>
      <c r="R514" t="s">
        <v>161</v>
      </c>
    </row>
    <row r="515" spans="1:18" x14ac:dyDescent="0.3">
      <c r="A515" t="s">
        <v>884</v>
      </c>
      <c r="B515" t="s">
        <v>3281</v>
      </c>
      <c r="C515" t="s">
        <v>2578</v>
      </c>
      <c r="D515" t="s">
        <v>2610</v>
      </c>
      <c r="E515" t="s">
        <v>3282</v>
      </c>
      <c r="F515" t="s">
        <v>2590</v>
      </c>
      <c r="G515" t="s">
        <v>161</v>
      </c>
      <c r="H515" t="s">
        <v>2603</v>
      </c>
      <c r="I515" t="s">
        <v>2603</v>
      </c>
      <c r="J515" t="s">
        <v>2612</v>
      </c>
      <c r="M515" t="s">
        <v>161</v>
      </c>
      <c r="N515" s="54">
        <v>45028.737083333333</v>
      </c>
      <c r="O515" s="54"/>
      <c r="P515" s="54"/>
      <c r="Q515" t="s">
        <v>2613</v>
      </c>
      <c r="R515" t="s">
        <v>161</v>
      </c>
    </row>
    <row r="516" spans="1:18" x14ac:dyDescent="0.3">
      <c r="A516" t="s">
        <v>884</v>
      </c>
      <c r="B516" t="s">
        <v>3281</v>
      </c>
      <c r="C516" t="s">
        <v>2578</v>
      </c>
      <c r="D516" t="s">
        <v>2610</v>
      </c>
      <c r="E516" t="s">
        <v>3283</v>
      </c>
      <c r="F516" t="s">
        <v>2590</v>
      </c>
      <c r="G516" t="s">
        <v>161</v>
      </c>
      <c r="H516" t="s">
        <v>2603</v>
      </c>
      <c r="I516" t="s">
        <v>2603</v>
      </c>
      <c r="J516" t="s">
        <v>2612</v>
      </c>
      <c r="M516" t="s">
        <v>161</v>
      </c>
      <c r="N516" s="54">
        <v>45028.737337962964</v>
      </c>
      <c r="O516" s="54"/>
      <c r="P516" s="54"/>
      <c r="Q516" t="s">
        <v>2613</v>
      </c>
      <c r="R516" t="s">
        <v>161</v>
      </c>
    </row>
    <row r="517" spans="1:18" x14ac:dyDescent="0.3">
      <c r="A517" t="s">
        <v>884</v>
      </c>
      <c r="B517" t="s">
        <v>3281</v>
      </c>
      <c r="C517" t="s">
        <v>2578</v>
      </c>
      <c r="D517" t="s">
        <v>2610</v>
      </c>
      <c r="E517" t="s">
        <v>3284</v>
      </c>
      <c r="F517" t="s">
        <v>2590</v>
      </c>
      <c r="G517" t="s">
        <v>161</v>
      </c>
      <c r="H517" t="s">
        <v>2603</v>
      </c>
      <c r="I517" t="s">
        <v>2603</v>
      </c>
      <c r="J517" t="s">
        <v>2612</v>
      </c>
      <c r="M517" t="s">
        <v>161</v>
      </c>
      <c r="N517" s="54">
        <v>45028.737187500003</v>
      </c>
      <c r="O517" s="54"/>
      <c r="P517" s="54"/>
      <c r="Q517" t="s">
        <v>2613</v>
      </c>
      <c r="R517" t="s">
        <v>161</v>
      </c>
    </row>
    <row r="518" spans="1:18" x14ac:dyDescent="0.3">
      <c r="A518" t="s">
        <v>884</v>
      </c>
      <c r="B518" t="s">
        <v>3281</v>
      </c>
      <c r="C518" t="s">
        <v>2578</v>
      </c>
      <c r="D518" t="s">
        <v>2610</v>
      </c>
      <c r="E518" t="s">
        <v>3285</v>
      </c>
      <c r="F518" t="s">
        <v>2590</v>
      </c>
      <c r="G518" t="s">
        <v>161</v>
      </c>
      <c r="H518" t="s">
        <v>2603</v>
      </c>
      <c r="I518" t="s">
        <v>2603</v>
      </c>
      <c r="J518" t="s">
        <v>2612</v>
      </c>
      <c r="M518" t="s">
        <v>161</v>
      </c>
      <c r="N518" s="54">
        <v>45028.737430555557</v>
      </c>
      <c r="O518" s="54"/>
      <c r="P518" s="54"/>
      <c r="Q518" t="s">
        <v>2613</v>
      </c>
      <c r="R518" t="s">
        <v>161</v>
      </c>
    </row>
    <row r="519" spans="1:18" x14ac:dyDescent="0.3">
      <c r="A519" t="s">
        <v>884</v>
      </c>
      <c r="B519" t="s">
        <v>3281</v>
      </c>
      <c r="C519" t="s">
        <v>2578</v>
      </c>
      <c r="D519" t="s">
        <v>2610</v>
      </c>
      <c r="E519" t="s">
        <v>3286</v>
      </c>
      <c r="F519" t="s">
        <v>2590</v>
      </c>
      <c r="G519" t="s">
        <v>161</v>
      </c>
      <c r="H519" t="s">
        <v>2603</v>
      </c>
      <c r="I519" t="s">
        <v>2603</v>
      </c>
      <c r="J519" t="s">
        <v>2612</v>
      </c>
      <c r="M519" t="s">
        <v>161</v>
      </c>
      <c r="N519" s="54">
        <v>45028.736643518518</v>
      </c>
      <c r="O519" s="54"/>
      <c r="P519" s="54"/>
      <c r="Q519" t="s">
        <v>2613</v>
      </c>
      <c r="R519" t="s">
        <v>161</v>
      </c>
    </row>
    <row r="520" spans="1:18" x14ac:dyDescent="0.3">
      <c r="A520" t="s">
        <v>884</v>
      </c>
      <c r="B520" t="s">
        <v>3281</v>
      </c>
      <c r="C520" t="s">
        <v>2578</v>
      </c>
      <c r="D520" t="s">
        <v>2610</v>
      </c>
      <c r="E520" t="s">
        <v>3287</v>
      </c>
      <c r="F520" t="s">
        <v>2590</v>
      </c>
      <c r="G520" t="s">
        <v>161</v>
      </c>
      <c r="H520" t="s">
        <v>2603</v>
      </c>
      <c r="I520" t="s">
        <v>2603</v>
      </c>
      <c r="J520" t="s">
        <v>2612</v>
      </c>
      <c r="M520" t="s">
        <v>161</v>
      </c>
      <c r="N520" s="54">
        <v>45028.736759259256</v>
      </c>
      <c r="O520" s="54"/>
      <c r="P520" s="54"/>
      <c r="Q520" t="s">
        <v>2613</v>
      </c>
      <c r="R520" t="s">
        <v>161</v>
      </c>
    </row>
    <row r="521" spans="1:18" x14ac:dyDescent="0.3">
      <c r="A521" t="s">
        <v>884</v>
      </c>
      <c r="B521" t="s">
        <v>3281</v>
      </c>
      <c r="C521" t="s">
        <v>2578</v>
      </c>
      <c r="D521" t="s">
        <v>2610</v>
      </c>
      <c r="E521" t="s">
        <v>3288</v>
      </c>
      <c r="F521" t="s">
        <v>2590</v>
      </c>
      <c r="G521" t="s">
        <v>161</v>
      </c>
      <c r="H521" t="s">
        <v>2603</v>
      </c>
      <c r="I521" t="s">
        <v>2603</v>
      </c>
      <c r="J521" t="s">
        <v>2612</v>
      </c>
      <c r="M521" t="s">
        <v>161</v>
      </c>
      <c r="N521" s="54">
        <v>45028.736851851849</v>
      </c>
      <c r="O521" s="54"/>
      <c r="P521" s="54"/>
      <c r="Q521" t="s">
        <v>2613</v>
      </c>
      <c r="R521" t="s">
        <v>161</v>
      </c>
    </row>
    <row r="522" spans="1:18" x14ac:dyDescent="0.3">
      <c r="A522" t="s">
        <v>884</v>
      </c>
      <c r="B522" t="s">
        <v>3281</v>
      </c>
      <c r="C522" t="s">
        <v>2578</v>
      </c>
      <c r="D522" t="s">
        <v>2610</v>
      </c>
      <c r="E522" t="s">
        <v>3289</v>
      </c>
      <c r="F522" t="s">
        <v>2590</v>
      </c>
      <c r="G522" t="s">
        <v>161</v>
      </c>
      <c r="H522" t="s">
        <v>2603</v>
      </c>
      <c r="I522" t="s">
        <v>2603</v>
      </c>
      <c r="J522" t="s">
        <v>2612</v>
      </c>
      <c r="M522" t="s">
        <v>161</v>
      </c>
      <c r="N522" s="54">
        <v>45028.736967592595</v>
      </c>
      <c r="O522" s="54"/>
      <c r="P522" s="54"/>
      <c r="Q522" t="s">
        <v>2613</v>
      </c>
      <c r="R522" t="s">
        <v>161</v>
      </c>
    </row>
    <row r="523" spans="1:18" x14ac:dyDescent="0.3">
      <c r="A523" t="s">
        <v>884</v>
      </c>
      <c r="B523" t="s">
        <v>3281</v>
      </c>
      <c r="C523" t="s">
        <v>2578</v>
      </c>
      <c r="D523" t="s">
        <v>2610</v>
      </c>
      <c r="E523" t="s">
        <v>3290</v>
      </c>
      <c r="F523" t="s">
        <v>2590</v>
      </c>
      <c r="G523" t="s">
        <v>161</v>
      </c>
      <c r="H523" t="s">
        <v>2603</v>
      </c>
      <c r="I523" t="s">
        <v>2603</v>
      </c>
      <c r="J523" t="s">
        <v>2612</v>
      </c>
      <c r="M523" t="s">
        <v>161</v>
      </c>
      <c r="N523" s="54">
        <v>45028.737581018519</v>
      </c>
      <c r="O523" s="54"/>
      <c r="P523" s="54"/>
      <c r="Q523" t="s">
        <v>2613</v>
      </c>
      <c r="R523" t="s">
        <v>161</v>
      </c>
    </row>
    <row r="524" spans="1:18" x14ac:dyDescent="0.3">
      <c r="A524" t="s">
        <v>884</v>
      </c>
      <c r="B524" t="s">
        <v>3281</v>
      </c>
      <c r="C524" t="s">
        <v>2578</v>
      </c>
      <c r="D524" t="s">
        <v>2610</v>
      </c>
      <c r="E524" t="s">
        <v>3291</v>
      </c>
      <c r="F524" t="s">
        <v>2590</v>
      </c>
      <c r="G524" t="s">
        <v>161</v>
      </c>
      <c r="H524" t="s">
        <v>2603</v>
      </c>
      <c r="I524" t="s">
        <v>2603</v>
      </c>
      <c r="J524" t="s">
        <v>2612</v>
      </c>
      <c r="M524" t="s">
        <v>161</v>
      </c>
      <c r="N524" s="54">
        <v>45028.737696759257</v>
      </c>
      <c r="O524" s="54"/>
      <c r="P524" s="54"/>
      <c r="Q524" t="s">
        <v>2613</v>
      </c>
      <c r="R524" t="s">
        <v>161</v>
      </c>
    </row>
    <row r="525" spans="1:18" x14ac:dyDescent="0.3">
      <c r="A525" t="s">
        <v>884</v>
      </c>
      <c r="B525" t="s">
        <v>3292</v>
      </c>
      <c r="C525" t="s">
        <v>2578</v>
      </c>
      <c r="D525" t="s">
        <v>2610</v>
      </c>
      <c r="E525" t="s">
        <v>3293</v>
      </c>
      <c r="F525" t="s">
        <v>2581</v>
      </c>
      <c r="G525" t="s">
        <v>161</v>
      </c>
      <c r="H525" t="s">
        <v>2603</v>
      </c>
      <c r="I525" t="s">
        <v>2603</v>
      </c>
      <c r="J525" t="s">
        <v>2612</v>
      </c>
      <c r="M525" t="s">
        <v>161</v>
      </c>
      <c r="N525" s="54">
        <v>45028.739687499998</v>
      </c>
      <c r="O525" s="54"/>
      <c r="P525" s="54"/>
      <c r="Q525" t="s">
        <v>2613</v>
      </c>
      <c r="R525" t="s">
        <v>161</v>
      </c>
    </row>
    <row r="526" spans="1:18" x14ac:dyDescent="0.3">
      <c r="A526" t="s">
        <v>884</v>
      </c>
      <c r="B526" t="s">
        <v>3292</v>
      </c>
      <c r="C526" t="s">
        <v>2578</v>
      </c>
      <c r="D526" t="s">
        <v>2610</v>
      </c>
      <c r="E526" t="s">
        <v>3294</v>
      </c>
      <c r="F526" t="s">
        <v>2581</v>
      </c>
      <c r="G526" t="s">
        <v>161</v>
      </c>
      <c r="H526" t="s">
        <v>2603</v>
      </c>
      <c r="I526" t="s">
        <v>2603</v>
      </c>
      <c r="J526" t="s">
        <v>2612</v>
      </c>
      <c r="M526" t="s">
        <v>161</v>
      </c>
      <c r="N526" s="54">
        <v>45028.739803240744</v>
      </c>
      <c r="O526" s="54"/>
      <c r="P526" s="54"/>
      <c r="Q526" t="s">
        <v>2613</v>
      </c>
      <c r="R526" t="s">
        <v>161</v>
      </c>
    </row>
    <row r="527" spans="1:18" x14ac:dyDescent="0.3">
      <c r="A527" t="s">
        <v>884</v>
      </c>
      <c r="B527" t="s">
        <v>3292</v>
      </c>
      <c r="C527" t="s">
        <v>2578</v>
      </c>
      <c r="D527" t="s">
        <v>2610</v>
      </c>
      <c r="E527" t="s">
        <v>3295</v>
      </c>
      <c r="F527" t="s">
        <v>2581</v>
      </c>
      <c r="G527" t="s">
        <v>161</v>
      </c>
      <c r="H527" t="s">
        <v>2603</v>
      </c>
      <c r="I527" t="s">
        <v>2603</v>
      </c>
      <c r="J527" t="s">
        <v>2612</v>
      </c>
      <c r="M527" t="s">
        <v>161</v>
      </c>
      <c r="N527" s="54">
        <v>45028.739918981482</v>
      </c>
      <c r="O527" s="54"/>
      <c r="P527" s="54"/>
      <c r="Q527" t="s">
        <v>2613</v>
      </c>
      <c r="R527" t="s">
        <v>161</v>
      </c>
    </row>
    <row r="528" spans="1:18" x14ac:dyDescent="0.3">
      <c r="A528" t="s">
        <v>884</v>
      </c>
      <c r="B528" t="s">
        <v>3292</v>
      </c>
      <c r="C528" t="s">
        <v>2578</v>
      </c>
      <c r="D528" t="s">
        <v>2610</v>
      </c>
      <c r="E528" t="s">
        <v>3296</v>
      </c>
      <c r="F528" t="s">
        <v>2581</v>
      </c>
      <c r="G528" t="s">
        <v>161</v>
      </c>
      <c r="H528" t="s">
        <v>2603</v>
      </c>
      <c r="I528" t="s">
        <v>2603</v>
      </c>
      <c r="J528" t="s">
        <v>2612</v>
      </c>
      <c r="M528" t="s">
        <v>161</v>
      </c>
      <c r="N528" s="54">
        <v>45028.740011574075</v>
      </c>
      <c r="O528" s="54"/>
      <c r="P528" s="54"/>
      <c r="Q528" t="s">
        <v>2613</v>
      </c>
      <c r="R528" t="s">
        <v>161</v>
      </c>
    </row>
    <row r="529" spans="1:18" x14ac:dyDescent="0.3">
      <c r="A529" t="s">
        <v>884</v>
      </c>
      <c r="B529" t="s">
        <v>3292</v>
      </c>
      <c r="C529" t="s">
        <v>2578</v>
      </c>
      <c r="D529" t="s">
        <v>2610</v>
      </c>
      <c r="E529" t="s">
        <v>3297</v>
      </c>
      <c r="F529" t="s">
        <v>2581</v>
      </c>
      <c r="G529" t="s">
        <v>161</v>
      </c>
      <c r="H529" t="s">
        <v>2603</v>
      </c>
      <c r="I529" t="s">
        <v>2603</v>
      </c>
      <c r="J529" t="s">
        <v>2612</v>
      </c>
      <c r="M529" t="s">
        <v>161</v>
      </c>
      <c r="N529" s="54">
        <v>45028.740127314813</v>
      </c>
      <c r="O529" s="54"/>
      <c r="P529" s="54"/>
      <c r="Q529" t="s">
        <v>2613</v>
      </c>
      <c r="R529" t="s">
        <v>161</v>
      </c>
    </row>
    <row r="530" spans="1:18" x14ac:dyDescent="0.3">
      <c r="A530" t="s">
        <v>884</v>
      </c>
      <c r="B530" t="s">
        <v>3292</v>
      </c>
      <c r="C530" t="s">
        <v>2578</v>
      </c>
      <c r="D530" t="s">
        <v>2610</v>
      </c>
      <c r="E530" t="s">
        <v>3298</v>
      </c>
      <c r="F530" t="s">
        <v>2581</v>
      </c>
      <c r="G530" t="s">
        <v>161</v>
      </c>
      <c r="H530" t="s">
        <v>2603</v>
      </c>
      <c r="I530" t="s">
        <v>2603</v>
      </c>
      <c r="J530" t="s">
        <v>2612</v>
      </c>
      <c r="M530" t="s">
        <v>161</v>
      </c>
      <c r="N530" s="54">
        <v>45028.740219907406</v>
      </c>
      <c r="O530" s="54"/>
      <c r="P530" s="54"/>
      <c r="Q530" t="s">
        <v>2613</v>
      </c>
      <c r="R530" t="s">
        <v>161</v>
      </c>
    </row>
    <row r="531" spans="1:18" x14ac:dyDescent="0.3">
      <c r="A531" t="s">
        <v>884</v>
      </c>
      <c r="B531" t="s">
        <v>3292</v>
      </c>
      <c r="C531" t="s">
        <v>2578</v>
      </c>
      <c r="D531" t="s">
        <v>2610</v>
      </c>
      <c r="E531" t="s">
        <v>3299</v>
      </c>
      <c r="F531" t="s">
        <v>2581</v>
      </c>
      <c r="G531" t="s">
        <v>161</v>
      </c>
      <c r="H531" t="s">
        <v>2603</v>
      </c>
      <c r="I531" t="s">
        <v>2603</v>
      </c>
      <c r="J531" t="s">
        <v>2612</v>
      </c>
      <c r="M531" t="s">
        <v>161</v>
      </c>
      <c r="N531" s="54">
        <v>45028.738518518519</v>
      </c>
      <c r="O531" s="54"/>
      <c r="P531" s="54"/>
      <c r="Q531" t="s">
        <v>2613</v>
      </c>
      <c r="R531" t="s">
        <v>161</v>
      </c>
    </row>
    <row r="532" spans="1:18" x14ac:dyDescent="0.3">
      <c r="A532" t="s">
        <v>884</v>
      </c>
      <c r="B532" t="s">
        <v>3292</v>
      </c>
      <c r="C532" t="s">
        <v>2578</v>
      </c>
      <c r="D532" t="s">
        <v>2610</v>
      </c>
      <c r="E532" t="s">
        <v>3300</v>
      </c>
      <c r="F532" t="s">
        <v>2581</v>
      </c>
      <c r="G532" t="s">
        <v>161</v>
      </c>
      <c r="H532" t="s">
        <v>2603</v>
      </c>
      <c r="I532" t="s">
        <v>2603</v>
      </c>
      <c r="J532" t="s">
        <v>2612</v>
      </c>
      <c r="M532" t="s">
        <v>161</v>
      </c>
      <c r="N532" s="54">
        <v>45028.738622685189</v>
      </c>
      <c r="O532" s="54"/>
      <c r="P532" s="54"/>
      <c r="Q532" t="s">
        <v>2613</v>
      </c>
      <c r="R532" t="s">
        <v>161</v>
      </c>
    </row>
    <row r="533" spans="1:18" x14ac:dyDescent="0.3">
      <c r="A533" t="s">
        <v>884</v>
      </c>
      <c r="B533" t="s">
        <v>3292</v>
      </c>
      <c r="C533" t="s">
        <v>2578</v>
      </c>
      <c r="D533" t="s">
        <v>2610</v>
      </c>
      <c r="E533" t="s">
        <v>3301</v>
      </c>
      <c r="F533" t="s">
        <v>2581</v>
      </c>
      <c r="G533" t="s">
        <v>161</v>
      </c>
      <c r="H533" t="s">
        <v>2603</v>
      </c>
      <c r="I533" t="s">
        <v>2603</v>
      </c>
      <c r="J533" t="s">
        <v>2612</v>
      </c>
      <c r="M533" t="s">
        <v>161</v>
      </c>
      <c r="N533" s="54">
        <v>45028.738749999997</v>
      </c>
      <c r="O533" s="54"/>
      <c r="P533" s="54"/>
      <c r="Q533" t="s">
        <v>2613</v>
      </c>
      <c r="R533" t="s">
        <v>161</v>
      </c>
    </row>
    <row r="534" spans="1:18" x14ac:dyDescent="0.3">
      <c r="A534" t="s">
        <v>884</v>
      </c>
      <c r="B534" t="s">
        <v>3292</v>
      </c>
      <c r="C534" t="s">
        <v>2578</v>
      </c>
      <c r="D534" t="s">
        <v>2610</v>
      </c>
      <c r="E534" t="s">
        <v>3302</v>
      </c>
      <c r="F534" t="s">
        <v>2581</v>
      </c>
      <c r="G534" t="s">
        <v>161</v>
      </c>
      <c r="H534" t="s">
        <v>2603</v>
      </c>
      <c r="I534" t="s">
        <v>2603</v>
      </c>
      <c r="J534" t="s">
        <v>2612</v>
      </c>
      <c r="M534" t="s">
        <v>161</v>
      </c>
      <c r="N534" s="54">
        <v>45028.738981481481</v>
      </c>
      <c r="O534" s="54"/>
      <c r="P534" s="54"/>
      <c r="Q534" t="s">
        <v>2613</v>
      </c>
      <c r="R534" t="s">
        <v>161</v>
      </c>
    </row>
    <row r="535" spans="1:18" x14ac:dyDescent="0.3">
      <c r="A535" t="s">
        <v>884</v>
      </c>
      <c r="B535" t="s">
        <v>3292</v>
      </c>
      <c r="C535" t="s">
        <v>2578</v>
      </c>
      <c r="D535" t="s">
        <v>2610</v>
      </c>
      <c r="E535" t="s">
        <v>3303</v>
      </c>
      <c r="F535" t="s">
        <v>2581</v>
      </c>
      <c r="G535" t="s">
        <v>161</v>
      </c>
      <c r="H535" t="s">
        <v>2603</v>
      </c>
      <c r="I535" t="s">
        <v>2603</v>
      </c>
      <c r="J535" t="s">
        <v>2612</v>
      </c>
      <c r="M535" t="s">
        <v>161</v>
      </c>
      <c r="N535" s="54">
        <v>45028.739074074074</v>
      </c>
      <c r="O535" s="54"/>
      <c r="P535" s="54"/>
      <c r="Q535" t="s">
        <v>2613</v>
      </c>
      <c r="R535" t="s">
        <v>161</v>
      </c>
    </row>
    <row r="536" spans="1:18" x14ac:dyDescent="0.3">
      <c r="A536" t="s">
        <v>884</v>
      </c>
      <c r="B536" t="s">
        <v>3292</v>
      </c>
      <c r="C536" t="s">
        <v>2578</v>
      </c>
      <c r="D536" t="s">
        <v>2610</v>
      </c>
      <c r="E536" t="s">
        <v>3304</v>
      </c>
      <c r="F536" t="s">
        <v>2581</v>
      </c>
      <c r="G536" t="s">
        <v>161</v>
      </c>
      <c r="H536" t="s">
        <v>2603</v>
      </c>
      <c r="I536" t="s">
        <v>2603</v>
      </c>
      <c r="J536" t="s">
        <v>2612</v>
      </c>
      <c r="M536" t="s">
        <v>161</v>
      </c>
      <c r="N536" s="54">
        <v>45028.739189814813</v>
      </c>
      <c r="O536" s="54"/>
      <c r="P536" s="54"/>
      <c r="Q536" t="s">
        <v>2613</v>
      </c>
      <c r="R536" t="s">
        <v>161</v>
      </c>
    </row>
    <row r="537" spans="1:18" x14ac:dyDescent="0.3">
      <c r="A537" t="s">
        <v>884</v>
      </c>
      <c r="B537" t="s">
        <v>3292</v>
      </c>
      <c r="C537" t="s">
        <v>2578</v>
      </c>
      <c r="D537" t="s">
        <v>2610</v>
      </c>
      <c r="E537" t="s">
        <v>3305</v>
      </c>
      <c r="F537" t="s">
        <v>2581</v>
      </c>
      <c r="G537" t="s">
        <v>161</v>
      </c>
      <c r="H537" t="s">
        <v>2603</v>
      </c>
      <c r="I537" t="s">
        <v>2603</v>
      </c>
      <c r="J537" t="s">
        <v>2612</v>
      </c>
      <c r="M537" t="s">
        <v>161</v>
      </c>
      <c r="N537" s="54">
        <v>45028.739328703705</v>
      </c>
      <c r="O537" s="54"/>
      <c r="P537" s="54"/>
      <c r="Q537" t="s">
        <v>2613</v>
      </c>
      <c r="R537" t="s">
        <v>161</v>
      </c>
    </row>
    <row r="538" spans="1:18" x14ac:dyDescent="0.3">
      <c r="A538" t="s">
        <v>884</v>
      </c>
      <c r="B538" t="s">
        <v>3292</v>
      </c>
      <c r="C538" t="s">
        <v>2578</v>
      </c>
      <c r="D538" t="s">
        <v>2610</v>
      </c>
      <c r="E538" t="s">
        <v>3306</v>
      </c>
      <c r="F538" t="s">
        <v>2581</v>
      </c>
      <c r="G538" t="s">
        <v>161</v>
      </c>
      <c r="H538" t="s">
        <v>2603</v>
      </c>
      <c r="I538" t="s">
        <v>2603</v>
      </c>
      <c r="J538" t="s">
        <v>2612</v>
      </c>
      <c r="M538" t="s">
        <v>161</v>
      </c>
      <c r="N538" s="54">
        <v>45028.739444444444</v>
      </c>
      <c r="O538" s="54"/>
      <c r="P538" s="54"/>
      <c r="Q538" t="s">
        <v>2613</v>
      </c>
      <c r="R538" t="s">
        <v>161</v>
      </c>
    </row>
    <row r="539" spans="1:18" x14ac:dyDescent="0.3">
      <c r="A539" t="s">
        <v>884</v>
      </c>
      <c r="B539" t="s">
        <v>3292</v>
      </c>
      <c r="C539" t="s">
        <v>2578</v>
      </c>
      <c r="D539" t="s">
        <v>2610</v>
      </c>
      <c r="E539" t="s">
        <v>3307</v>
      </c>
      <c r="F539" t="s">
        <v>2581</v>
      </c>
      <c r="G539" t="s">
        <v>161</v>
      </c>
      <c r="H539" t="s">
        <v>2603</v>
      </c>
      <c r="I539" t="s">
        <v>2603</v>
      </c>
      <c r="J539" t="s">
        <v>2612</v>
      </c>
      <c r="M539" t="s">
        <v>161</v>
      </c>
      <c r="N539" s="54">
        <v>45028.739548611113</v>
      </c>
      <c r="O539" s="54"/>
      <c r="P539" s="54"/>
      <c r="Q539" t="s">
        <v>2613</v>
      </c>
      <c r="R539" t="s">
        <v>161</v>
      </c>
    </row>
    <row r="540" spans="1:18" x14ac:dyDescent="0.3">
      <c r="A540" t="s">
        <v>884</v>
      </c>
      <c r="B540" t="s">
        <v>3292</v>
      </c>
      <c r="C540" t="s">
        <v>2578</v>
      </c>
      <c r="D540" t="s">
        <v>2610</v>
      </c>
      <c r="E540" t="s">
        <v>3308</v>
      </c>
      <c r="F540" t="s">
        <v>2581</v>
      </c>
      <c r="G540" t="s">
        <v>161</v>
      </c>
      <c r="H540" t="s">
        <v>2603</v>
      </c>
      <c r="I540" t="s">
        <v>2603</v>
      </c>
      <c r="J540" t="s">
        <v>2612</v>
      </c>
      <c r="M540" t="s">
        <v>161</v>
      </c>
      <c r="N540" s="54">
        <v>45028.740347222221</v>
      </c>
      <c r="O540" s="54"/>
      <c r="P540" s="54"/>
      <c r="Q540" t="s">
        <v>2613</v>
      </c>
      <c r="R540" t="s">
        <v>161</v>
      </c>
    </row>
    <row r="541" spans="1:18" x14ac:dyDescent="0.3">
      <c r="A541" t="s">
        <v>884</v>
      </c>
      <c r="B541" t="s">
        <v>3292</v>
      </c>
      <c r="C541" t="s">
        <v>2578</v>
      </c>
      <c r="D541" t="s">
        <v>2610</v>
      </c>
      <c r="E541" t="s">
        <v>3309</v>
      </c>
      <c r="F541" t="s">
        <v>2581</v>
      </c>
      <c r="G541" t="s">
        <v>161</v>
      </c>
      <c r="H541" t="s">
        <v>2603</v>
      </c>
      <c r="I541" t="s">
        <v>2603</v>
      </c>
      <c r="J541" t="s">
        <v>2612</v>
      </c>
      <c r="M541" t="s">
        <v>161</v>
      </c>
      <c r="N541" s="54">
        <v>45028.74046296296</v>
      </c>
      <c r="O541" s="54"/>
      <c r="P541" s="54"/>
      <c r="Q541" t="s">
        <v>2613</v>
      </c>
      <c r="R541" t="s">
        <v>161</v>
      </c>
    </row>
    <row r="542" spans="1:18" x14ac:dyDescent="0.3">
      <c r="A542" t="s">
        <v>884</v>
      </c>
      <c r="B542" t="s">
        <v>3292</v>
      </c>
      <c r="C542" t="s">
        <v>2578</v>
      </c>
      <c r="D542" t="s">
        <v>2610</v>
      </c>
      <c r="E542" t="s">
        <v>3310</v>
      </c>
      <c r="F542" t="s">
        <v>2581</v>
      </c>
      <c r="G542" t="s">
        <v>161</v>
      </c>
      <c r="H542" t="s">
        <v>2603</v>
      </c>
      <c r="I542" t="s">
        <v>2603</v>
      </c>
      <c r="J542" t="s">
        <v>2612</v>
      </c>
      <c r="M542" t="s">
        <v>161</v>
      </c>
      <c r="N542" s="54">
        <v>45028.740578703706</v>
      </c>
      <c r="O542" s="54"/>
      <c r="P542" s="54"/>
      <c r="Q542" t="s">
        <v>2613</v>
      </c>
      <c r="R542" t="s">
        <v>161</v>
      </c>
    </row>
    <row r="543" spans="1:18" x14ac:dyDescent="0.3">
      <c r="A543" t="s">
        <v>884</v>
      </c>
      <c r="B543" t="s">
        <v>3292</v>
      </c>
      <c r="C543" t="s">
        <v>2578</v>
      </c>
      <c r="D543" t="s">
        <v>2610</v>
      </c>
      <c r="E543" t="s">
        <v>3311</v>
      </c>
      <c r="F543" t="s">
        <v>2581</v>
      </c>
      <c r="G543" t="s">
        <v>161</v>
      </c>
      <c r="H543" t="s">
        <v>2603</v>
      </c>
      <c r="I543" t="s">
        <v>2603</v>
      </c>
      <c r="J543" t="s">
        <v>2612</v>
      </c>
      <c r="M543" t="s">
        <v>161</v>
      </c>
      <c r="N543" s="54">
        <v>45028.740706018521</v>
      </c>
      <c r="O543" s="54"/>
      <c r="P543" s="54"/>
      <c r="Q543" t="s">
        <v>2613</v>
      </c>
      <c r="R543" t="s">
        <v>161</v>
      </c>
    </row>
    <row r="544" spans="1:18" x14ac:dyDescent="0.3">
      <c r="A544" t="s">
        <v>884</v>
      </c>
      <c r="B544" t="s">
        <v>3312</v>
      </c>
      <c r="C544" t="s">
        <v>2578</v>
      </c>
      <c r="D544" t="s">
        <v>2610</v>
      </c>
      <c r="E544" t="s">
        <v>3313</v>
      </c>
      <c r="F544" t="s">
        <v>2590</v>
      </c>
      <c r="G544" t="s">
        <v>161</v>
      </c>
      <c r="H544" t="s">
        <v>2603</v>
      </c>
      <c r="I544" t="s">
        <v>2603</v>
      </c>
      <c r="J544" t="s">
        <v>2612</v>
      </c>
      <c r="M544" t="s">
        <v>161</v>
      </c>
      <c r="N544" s="54">
        <v>45028.742905092593</v>
      </c>
      <c r="O544" s="54"/>
      <c r="P544" s="54"/>
      <c r="Q544" t="s">
        <v>2613</v>
      </c>
      <c r="R544" t="s">
        <v>161</v>
      </c>
    </row>
    <row r="545" spans="1:18" x14ac:dyDescent="0.3">
      <c r="A545" t="s">
        <v>884</v>
      </c>
      <c r="B545" t="s">
        <v>3312</v>
      </c>
      <c r="C545" t="s">
        <v>2578</v>
      </c>
      <c r="D545" t="s">
        <v>2610</v>
      </c>
      <c r="E545" t="s">
        <v>3314</v>
      </c>
      <c r="F545" t="s">
        <v>2590</v>
      </c>
      <c r="G545" t="s">
        <v>161</v>
      </c>
      <c r="H545" t="s">
        <v>2603</v>
      </c>
      <c r="I545" t="s">
        <v>2603</v>
      </c>
      <c r="J545" t="s">
        <v>2612</v>
      </c>
      <c r="M545" t="s">
        <v>161</v>
      </c>
      <c r="N545" s="54">
        <v>45028.743009259262</v>
      </c>
      <c r="O545" s="54"/>
      <c r="P545" s="54"/>
      <c r="Q545" t="s">
        <v>2613</v>
      </c>
      <c r="R545" t="s">
        <v>161</v>
      </c>
    </row>
    <row r="546" spans="1:18" x14ac:dyDescent="0.3">
      <c r="A546" t="s">
        <v>884</v>
      </c>
      <c r="B546" t="s">
        <v>3312</v>
      </c>
      <c r="C546" t="s">
        <v>2578</v>
      </c>
      <c r="D546" t="s">
        <v>2610</v>
      </c>
      <c r="E546" t="s">
        <v>3315</v>
      </c>
      <c r="F546" t="s">
        <v>2590</v>
      </c>
      <c r="G546" t="s">
        <v>161</v>
      </c>
      <c r="H546" t="s">
        <v>2603</v>
      </c>
      <c r="I546" t="s">
        <v>2603</v>
      </c>
      <c r="J546" t="s">
        <v>2612</v>
      </c>
      <c r="M546" t="s">
        <v>161</v>
      </c>
      <c r="N546" s="54">
        <v>45028.743125000001</v>
      </c>
      <c r="O546" s="54"/>
      <c r="P546" s="54"/>
      <c r="Q546" t="s">
        <v>2613</v>
      </c>
      <c r="R546" t="s">
        <v>161</v>
      </c>
    </row>
    <row r="547" spans="1:18" x14ac:dyDescent="0.3">
      <c r="A547" t="s">
        <v>884</v>
      </c>
      <c r="B547" t="s">
        <v>3312</v>
      </c>
      <c r="C547" t="s">
        <v>2578</v>
      </c>
      <c r="D547" t="s">
        <v>2610</v>
      </c>
      <c r="E547" t="s">
        <v>3316</v>
      </c>
      <c r="F547" t="s">
        <v>2590</v>
      </c>
      <c r="G547" t="s">
        <v>161</v>
      </c>
      <c r="H547" t="s">
        <v>2603</v>
      </c>
      <c r="I547" t="s">
        <v>2603</v>
      </c>
      <c r="J547" t="s">
        <v>2612</v>
      </c>
      <c r="M547" t="s">
        <v>161</v>
      </c>
      <c r="N547" s="54">
        <v>45028.74322916667</v>
      </c>
      <c r="O547" s="54"/>
      <c r="P547" s="54"/>
      <c r="Q547" t="s">
        <v>2613</v>
      </c>
      <c r="R547" t="s">
        <v>161</v>
      </c>
    </row>
    <row r="548" spans="1:18" x14ac:dyDescent="0.3">
      <c r="A548" t="s">
        <v>884</v>
      </c>
      <c r="B548" t="s">
        <v>3312</v>
      </c>
      <c r="C548" t="s">
        <v>2578</v>
      </c>
      <c r="D548" t="s">
        <v>2610</v>
      </c>
      <c r="E548" t="s">
        <v>3317</v>
      </c>
      <c r="F548" t="s">
        <v>2590</v>
      </c>
      <c r="G548" t="s">
        <v>161</v>
      </c>
      <c r="H548" t="s">
        <v>2603</v>
      </c>
      <c r="I548" t="s">
        <v>2603</v>
      </c>
      <c r="J548" t="s">
        <v>2612</v>
      </c>
      <c r="M548" t="s">
        <v>161</v>
      </c>
      <c r="N548" s="54">
        <v>45028.743368055555</v>
      </c>
      <c r="O548" s="54"/>
      <c r="P548" s="54"/>
      <c r="Q548" t="s">
        <v>2613</v>
      </c>
      <c r="R548" t="s">
        <v>161</v>
      </c>
    </row>
    <row r="549" spans="1:18" x14ac:dyDescent="0.3">
      <c r="A549" t="s">
        <v>884</v>
      </c>
      <c r="B549" t="s">
        <v>3312</v>
      </c>
      <c r="C549" t="s">
        <v>2578</v>
      </c>
      <c r="D549" t="s">
        <v>2610</v>
      </c>
      <c r="E549" t="s">
        <v>3318</v>
      </c>
      <c r="F549" t="s">
        <v>2590</v>
      </c>
      <c r="G549" t="s">
        <v>161</v>
      </c>
      <c r="H549" t="s">
        <v>2603</v>
      </c>
      <c r="I549" t="s">
        <v>2603</v>
      </c>
      <c r="J549" t="s">
        <v>2612</v>
      </c>
      <c r="M549" t="s">
        <v>161</v>
      </c>
      <c r="N549" s="54">
        <v>45028.743472222224</v>
      </c>
      <c r="O549" s="54"/>
      <c r="P549" s="54"/>
      <c r="Q549" t="s">
        <v>2613</v>
      </c>
      <c r="R549" t="s">
        <v>161</v>
      </c>
    </row>
    <row r="550" spans="1:18" x14ac:dyDescent="0.3">
      <c r="A550" t="s">
        <v>884</v>
      </c>
      <c r="B550" t="s">
        <v>3312</v>
      </c>
      <c r="C550" t="s">
        <v>2578</v>
      </c>
      <c r="D550" t="s">
        <v>2610</v>
      </c>
      <c r="E550" t="s">
        <v>3319</v>
      </c>
      <c r="F550" t="s">
        <v>2590</v>
      </c>
      <c r="G550" t="s">
        <v>161</v>
      </c>
      <c r="H550" t="s">
        <v>2603</v>
      </c>
      <c r="I550" t="s">
        <v>2603</v>
      </c>
      <c r="J550" t="s">
        <v>2612</v>
      </c>
      <c r="M550" t="s">
        <v>161</v>
      </c>
      <c r="N550" s="54">
        <v>45028.741967592592</v>
      </c>
      <c r="O550" s="54"/>
      <c r="P550" s="54"/>
      <c r="Q550" t="s">
        <v>2613</v>
      </c>
      <c r="R550" t="s">
        <v>161</v>
      </c>
    </row>
    <row r="551" spans="1:18" x14ac:dyDescent="0.3">
      <c r="A551" t="s">
        <v>884</v>
      </c>
      <c r="B551" t="s">
        <v>3312</v>
      </c>
      <c r="C551" t="s">
        <v>2578</v>
      </c>
      <c r="D551" t="s">
        <v>2610</v>
      </c>
      <c r="E551" t="s">
        <v>3320</v>
      </c>
      <c r="F551" t="s">
        <v>2590</v>
      </c>
      <c r="G551" t="s">
        <v>161</v>
      </c>
      <c r="H551" t="s">
        <v>2603</v>
      </c>
      <c r="I551" t="s">
        <v>2603</v>
      </c>
      <c r="J551" t="s">
        <v>2612</v>
      </c>
      <c r="M551" t="s">
        <v>161</v>
      </c>
      <c r="N551" s="54">
        <v>45028.742071759261</v>
      </c>
      <c r="O551" s="54"/>
      <c r="P551" s="54"/>
      <c r="Q551" t="s">
        <v>2613</v>
      </c>
      <c r="R551" t="s">
        <v>161</v>
      </c>
    </row>
    <row r="552" spans="1:18" x14ac:dyDescent="0.3">
      <c r="A552" t="s">
        <v>884</v>
      </c>
      <c r="B552" t="s">
        <v>3312</v>
      </c>
      <c r="C552" t="s">
        <v>2578</v>
      </c>
      <c r="D552" t="s">
        <v>2610</v>
      </c>
      <c r="E552" t="s">
        <v>3321</v>
      </c>
      <c r="F552" t="s">
        <v>2590</v>
      </c>
      <c r="G552" t="s">
        <v>161</v>
      </c>
      <c r="H552" t="s">
        <v>2603</v>
      </c>
      <c r="I552" t="s">
        <v>2603</v>
      </c>
      <c r="J552" t="s">
        <v>2612</v>
      </c>
      <c r="M552" t="s">
        <v>161</v>
      </c>
      <c r="N552" s="54">
        <v>45028.742175925923</v>
      </c>
      <c r="O552" s="54"/>
      <c r="P552" s="54"/>
      <c r="Q552" t="s">
        <v>2613</v>
      </c>
      <c r="R552" t="s">
        <v>161</v>
      </c>
    </row>
    <row r="553" spans="1:18" x14ac:dyDescent="0.3">
      <c r="A553" t="s">
        <v>884</v>
      </c>
      <c r="B553" t="s">
        <v>3312</v>
      </c>
      <c r="C553" t="s">
        <v>2578</v>
      </c>
      <c r="D553" t="s">
        <v>2610</v>
      </c>
      <c r="E553" t="s">
        <v>3322</v>
      </c>
      <c r="F553" t="s">
        <v>2590</v>
      </c>
      <c r="G553" t="s">
        <v>161</v>
      </c>
      <c r="H553" t="s">
        <v>2603</v>
      </c>
      <c r="I553" t="s">
        <v>2603</v>
      </c>
      <c r="J553" t="s">
        <v>2612</v>
      </c>
      <c r="M553" t="s">
        <v>161</v>
      </c>
      <c r="N553" s="54">
        <v>45028.742314814815</v>
      </c>
      <c r="O553" s="54"/>
      <c r="P553" s="54"/>
      <c r="Q553" t="s">
        <v>2613</v>
      </c>
      <c r="R553" t="s">
        <v>161</v>
      </c>
    </row>
    <row r="554" spans="1:18" x14ac:dyDescent="0.3">
      <c r="A554" t="s">
        <v>884</v>
      </c>
      <c r="B554" t="s">
        <v>3312</v>
      </c>
      <c r="C554" t="s">
        <v>2578</v>
      </c>
      <c r="D554" t="s">
        <v>2610</v>
      </c>
      <c r="E554" t="s">
        <v>3323</v>
      </c>
      <c r="F554" t="s">
        <v>2590</v>
      </c>
      <c r="G554" t="s">
        <v>161</v>
      </c>
      <c r="H554" t="s">
        <v>2603</v>
      </c>
      <c r="I554" t="s">
        <v>2603</v>
      </c>
      <c r="J554" t="s">
        <v>2612</v>
      </c>
      <c r="M554" t="s">
        <v>161</v>
      </c>
      <c r="N554" s="54">
        <v>45028.742418981485</v>
      </c>
      <c r="O554" s="54"/>
      <c r="P554" s="54"/>
      <c r="Q554" t="s">
        <v>2613</v>
      </c>
      <c r="R554" t="s">
        <v>161</v>
      </c>
    </row>
    <row r="555" spans="1:18" x14ac:dyDescent="0.3">
      <c r="A555" t="s">
        <v>884</v>
      </c>
      <c r="B555" t="s">
        <v>3312</v>
      </c>
      <c r="C555" t="s">
        <v>2578</v>
      </c>
      <c r="D555" t="s">
        <v>2610</v>
      </c>
      <c r="E555" t="s">
        <v>3324</v>
      </c>
      <c r="F555" t="s">
        <v>2590</v>
      </c>
      <c r="G555" t="s">
        <v>161</v>
      </c>
      <c r="H555" t="s">
        <v>2603</v>
      </c>
      <c r="I555" t="s">
        <v>2603</v>
      </c>
      <c r="J555" t="s">
        <v>2612</v>
      </c>
      <c r="M555" t="s">
        <v>161</v>
      </c>
      <c r="N555" s="54">
        <v>45028.74255787037</v>
      </c>
      <c r="O555" s="54"/>
      <c r="P555" s="54"/>
      <c r="Q555" t="s">
        <v>2613</v>
      </c>
      <c r="R555" t="s">
        <v>161</v>
      </c>
    </row>
    <row r="556" spans="1:18" x14ac:dyDescent="0.3">
      <c r="A556" t="s">
        <v>884</v>
      </c>
      <c r="B556" t="s">
        <v>3312</v>
      </c>
      <c r="C556" t="s">
        <v>2578</v>
      </c>
      <c r="D556" t="s">
        <v>2610</v>
      </c>
      <c r="E556" t="s">
        <v>3325</v>
      </c>
      <c r="F556" t="s">
        <v>2590</v>
      </c>
      <c r="G556" t="s">
        <v>161</v>
      </c>
      <c r="H556" t="s">
        <v>2603</v>
      </c>
      <c r="I556" t="s">
        <v>2603</v>
      </c>
      <c r="J556" t="s">
        <v>2612</v>
      </c>
      <c r="M556" t="s">
        <v>161</v>
      </c>
      <c r="N556" s="54">
        <v>45028.742673611108</v>
      </c>
      <c r="O556" s="54"/>
      <c r="P556" s="54"/>
      <c r="Q556" t="s">
        <v>2613</v>
      </c>
      <c r="R556" t="s">
        <v>161</v>
      </c>
    </row>
    <row r="557" spans="1:18" x14ac:dyDescent="0.3">
      <c r="A557" t="s">
        <v>884</v>
      </c>
      <c r="B557" t="s">
        <v>3312</v>
      </c>
      <c r="C557" t="s">
        <v>2578</v>
      </c>
      <c r="D557" t="s">
        <v>2610</v>
      </c>
      <c r="E557" t="s">
        <v>3326</v>
      </c>
      <c r="F557" t="s">
        <v>2590</v>
      </c>
      <c r="G557" t="s">
        <v>161</v>
      </c>
      <c r="H557" t="s">
        <v>2603</v>
      </c>
      <c r="I557" t="s">
        <v>2603</v>
      </c>
      <c r="J557" t="s">
        <v>2612</v>
      </c>
      <c r="M557" t="s">
        <v>161</v>
      </c>
      <c r="N557" s="54">
        <v>45028.742777777778</v>
      </c>
      <c r="O557" s="54"/>
      <c r="P557" s="54"/>
      <c r="Q557" t="s">
        <v>2613</v>
      </c>
      <c r="R557" t="s">
        <v>161</v>
      </c>
    </row>
    <row r="558" spans="1:18" x14ac:dyDescent="0.3">
      <c r="A558" t="s">
        <v>884</v>
      </c>
      <c r="B558" t="s">
        <v>3312</v>
      </c>
      <c r="C558" t="s">
        <v>2578</v>
      </c>
      <c r="D558" t="s">
        <v>2610</v>
      </c>
      <c r="E558" t="s">
        <v>3327</v>
      </c>
      <c r="F558" t="s">
        <v>2590</v>
      </c>
      <c r="G558" t="s">
        <v>161</v>
      </c>
      <c r="H558" t="s">
        <v>2603</v>
      </c>
      <c r="I558" t="s">
        <v>2603</v>
      </c>
      <c r="J558" t="s">
        <v>2612</v>
      </c>
      <c r="M558" t="s">
        <v>161</v>
      </c>
      <c r="N558" s="54">
        <v>45028.743576388886</v>
      </c>
      <c r="O558" s="54"/>
      <c r="P558" s="54"/>
      <c r="Q558" t="s">
        <v>2613</v>
      </c>
      <c r="R558" t="s">
        <v>161</v>
      </c>
    </row>
    <row r="559" spans="1:18" x14ac:dyDescent="0.3">
      <c r="A559" t="s">
        <v>884</v>
      </c>
      <c r="B559" t="s">
        <v>3312</v>
      </c>
      <c r="C559" t="s">
        <v>2578</v>
      </c>
      <c r="D559" t="s">
        <v>2610</v>
      </c>
      <c r="E559" t="s">
        <v>3328</v>
      </c>
      <c r="F559" t="s">
        <v>2590</v>
      </c>
      <c r="G559" t="s">
        <v>161</v>
      </c>
      <c r="H559" t="s">
        <v>2603</v>
      </c>
      <c r="I559" t="s">
        <v>2603</v>
      </c>
      <c r="J559" t="s">
        <v>2612</v>
      </c>
      <c r="M559" t="s">
        <v>161</v>
      </c>
      <c r="N559" s="54">
        <v>45028.743668981479</v>
      </c>
      <c r="O559" s="54"/>
      <c r="P559" s="54"/>
      <c r="Q559" t="s">
        <v>2613</v>
      </c>
      <c r="R559" t="s">
        <v>161</v>
      </c>
    </row>
    <row r="560" spans="1:18" x14ac:dyDescent="0.3">
      <c r="A560" t="s">
        <v>884</v>
      </c>
      <c r="B560" t="s">
        <v>3312</v>
      </c>
      <c r="C560" t="s">
        <v>2578</v>
      </c>
      <c r="D560" t="s">
        <v>2610</v>
      </c>
      <c r="E560" t="s">
        <v>3329</v>
      </c>
      <c r="F560" t="s">
        <v>2590</v>
      </c>
      <c r="G560" t="s">
        <v>161</v>
      </c>
      <c r="H560" t="s">
        <v>2603</v>
      </c>
      <c r="I560" t="s">
        <v>2603</v>
      </c>
      <c r="J560" t="s">
        <v>2612</v>
      </c>
      <c r="M560" t="s">
        <v>161</v>
      </c>
      <c r="N560" s="54">
        <v>45028.743784722225</v>
      </c>
      <c r="O560" s="54"/>
      <c r="P560" s="54"/>
      <c r="Q560" t="s">
        <v>2613</v>
      </c>
      <c r="R560" t="s">
        <v>161</v>
      </c>
    </row>
    <row r="561" spans="1:18" x14ac:dyDescent="0.3">
      <c r="A561" t="s">
        <v>884</v>
      </c>
      <c r="B561" t="s">
        <v>3312</v>
      </c>
      <c r="C561" t="s">
        <v>2578</v>
      </c>
      <c r="D561" t="s">
        <v>2610</v>
      </c>
      <c r="E561" t="s">
        <v>3330</v>
      </c>
      <c r="F561" t="s">
        <v>2590</v>
      </c>
      <c r="G561" t="s">
        <v>161</v>
      </c>
      <c r="H561" t="s">
        <v>2603</v>
      </c>
      <c r="I561" t="s">
        <v>2603</v>
      </c>
      <c r="J561" t="s">
        <v>2612</v>
      </c>
      <c r="M561" t="s">
        <v>161</v>
      </c>
      <c r="N561" s="54">
        <v>45471.620185185187</v>
      </c>
      <c r="O561" s="54"/>
      <c r="P561" s="54"/>
      <c r="Q561" t="s">
        <v>2613</v>
      </c>
      <c r="R561" t="s">
        <v>161</v>
      </c>
    </row>
    <row r="562" spans="1:18" x14ac:dyDescent="0.3">
      <c r="A562" t="s">
        <v>884</v>
      </c>
      <c r="B562" t="s">
        <v>3331</v>
      </c>
      <c r="C562" t="s">
        <v>2578</v>
      </c>
      <c r="D562" t="s">
        <v>2610</v>
      </c>
      <c r="E562" t="s">
        <v>3332</v>
      </c>
      <c r="F562" t="s">
        <v>2598</v>
      </c>
      <c r="G562" t="s">
        <v>161</v>
      </c>
      <c r="H562" t="s">
        <v>2603</v>
      </c>
      <c r="I562" t="s">
        <v>2603</v>
      </c>
      <c r="J562" t="s">
        <v>2612</v>
      </c>
      <c r="M562" t="s">
        <v>161</v>
      </c>
      <c r="N562" s="54">
        <v>45028.745821759258</v>
      </c>
      <c r="O562" s="54"/>
      <c r="P562" s="54"/>
      <c r="Q562" t="s">
        <v>2613</v>
      </c>
      <c r="R562" t="s">
        <v>161</v>
      </c>
    </row>
    <row r="563" spans="1:18" x14ac:dyDescent="0.3">
      <c r="A563" t="s">
        <v>884</v>
      </c>
      <c r="B563" t="s">
        <v>3331</v>
      </c>
      <c r="C563" t="s">
        <v>2578</v>
      </c>
      <c r="D563" t="s">
        <v>2610</v>
      </c>
      <c r="E563" t="s">
        <v>3333</v>
      </c>
      <c r="F563" t="s">
        <v>2598</v>
      </c>
      <c r="G563" t="s">
        <v>161</v>
      </c>
      <c r="H563" t="s">
        <v>2603</v>
      </c>
      <c r="I563" t="s">
        <v>2603</v>
      </c>
      <c r="J563" t="s">
        <v>2612</v>
      </c>
      <c r="M563" t="s">
        <v>161</v>
      </c>
      <c r="N563" s="54">
        <v>45028.74591435185</v>
      </c>
      <c r="O563" s="54"/>
      <c r="P563" s="54"/>
      <c r="Q563" t="s">
        <v>2613</v>
      </c>
      <c r="R563" t="s">
        <v>161</v>
      </c>
    </row>
    <row r="564" spans="1:18" x14ac:dyDescent="0.3">
      <c r="A564" t="s">
        <v>884</v>
      </c>
      <c r="B564" t="s">
        <v>3331</v>
      </c>
      <c r="C564" t="s">
        <v>2578</v>
      </c>
      <c r="D564" t="s">
        <v>2610</v>
      </c>
      <c r="E564" t="s">
        <v>3334</v>
      </c>
      <c r="F564" t="s">
        <v>2598</v>
      </c>
      <c r="G564" t="s">
        <v>161</v>
      </c>
      <c r="H564" t="s">
        <v>2603</v>
      </c>
      <c r="I564" t="s">
        <v>2603</v>
      </c>
      <c r="J564" t="s">
        <v>2612</v>
      </c>
      <c r="M564" t="s">
        <v>161</v>
      </c>
      <c r="N564" s="54">
        <v>45028.745613425926</v>
      </c>
      <c r="O564" s="54"/>
      <c r="P564" s="54"/>
      <c r="Q564" t="s">
        <v>2613</v>
      </c>
      <c r="R564" t="s">
        <v>161</v>
      </c>
    </row>
    <row r="565" spans="1:18" x14ac:dyDescent="0.3">
      <c r="A565" t="s">
        <v>884</v>
      </c>
      <c r="B565" t="s">
        <v>3331</v>
      </c>
      <c r="C565" t="s">
        <v>2578</v>
      </c>
      <c r="D565" t="s">
        <v>2610</v>
      </c>
      <c r="E565" t="s">
        <v>3335</v>
      </c>
      <c r="F565" t="s">
        <v>2598</v>
      </c>
      <c r="G565" t="s">
        <v>161</v>
      </c>
      <c r="H565" t="s">
        <v>2603</v>
      </c>
      <c r="I565" t="s">
        <v>2603</v>
      </c>
      <c r="J565" t="s">
        <v>2612</v>
      </c>
      <c r="M565" t="s">
        <v>161</v>
      </c>
      <c r="N565" s="54">
        <v>45028.745717592596</v>
      </c>
      <c r="O565" s="54"/>
      <c r="P565" s="54"/>
      <c r="Q565" t="s">
        <v>2613</v>
      </c>
      <c r="R565" t="s">
        <v>161</v>
      </c>
    </row>
    <row r="566" spans="1:18" x14ac:dyDescent="0.3">
      <c r="A566" t="s">
        <v>884</v>
      </c>
      <c r="B566" t="s">
        <v>3331</v>
      </c>
      <c r="C566" t="s">
        <v>2578</v>
      </c>
      <c r="D566" t="s">
        <v>2610</v>
      </c>
      <c r="E566" t="s">
        <v>3336</v>
      </c>
      <c r="F566" t="s">
        <v>2598</v>
      </c>
      <c r="G566" t="s">
        <v>161</v>
      </c>
      <c r="H566" t="s">
        <v>2603</v>
      </c>
      <c r="I566" t="s">
        <v>2603</v>
      </c>
      <c r="J566" t="s">
        <v>2612</v>
      </c>
      <c r="M566" t="s">
        <v>161</v>
      </c>
      <c r="N566" s="54">
        <v>45028.74454861111</v>
      </c>
      <c r="O566" s="54"/>
      <c r="P566" s="54"/>
      <c r="Q566" t="s">
        <v>2613</v>
      </c>
      <c r="R566" t="s">
        <v>161</v>
      </c>
    </row>
    <row r="567" spans="1:18" x14ac:dyDescent="0.3">
      <c r="A567" t="s">
        <v>884</v>
      </c>
      <c r="B567" t="s">
        <v>3331</v>
      </c>
      <c r="C567" t="s">
        <v>2578</v>
      </c>
      <c r="D567" t="s">
        <v>2610</v>
      </c>
      <c r="E567" t="s">
        <v>3337</v>
      </c>
      <c r="F567" t="s">
        <v>2598</v>
      </c>
      <c r="G567" t="s">
        <v>161</v>
      </c>
      <c r="H567" t="s">
        <v>2603</v>
      </c>
      <c r="I567" t="s">
        <v>2603</v>
      </c>
      <c r="J567" t="s">
        <v>2612</v>
      </c>
      <c r="M567" t="s">
        <v>161</v>
      </c>
      <c r="N567" s="54">
        <v>45028.744629629633</v>
      </c>
      <c r="O567" s="54"/>
      <c r="P567" s="54"/>
      <c r="Q567" t="s">
        <v>2613</v>
      </c>
      <c r="R567" t="s">
        <v>161</v>
      </c>
    </row>
    <row r="568" spans="1:18" x14ac:dyDescent="0.3">
      <c r="A568" t="s">
        <v>884</v>
      </c>
      <c r="B568" t="s">
        <v>3331</v>
      </c>
      <c r="C568" t="s">
        <v>2578</v>
      </c>
      <c r="D568" t="s">
        <v>2610</v>
      </c>
      <c r="E568" t="s">
        <v>3338</v>
      </c>
      <c r="F568" t="s">
        <v>2598</v>
      </c>
      <c r="G568" t="s">
        <v>161</v>
      </c>
      <c r="H568" t="s">
        <v>2603</v>
      </c>
      <c r="I568" t="s">
        <v>2603</v>
      </c>
      <c r="J568" t="s">
        <v>2612</v>
      </c>
      <c r="M568" t="s">
        <v>161</v>
      </c>
      <c r="N568" s="54">
        <v>45028.744722222225</v>
      </c>
      <c r="O568" s="54"/>
      <c r="P568" s="54"/>
      <c r="Q568" t="s">
        <v>2613</v>
      </c>
      <c r="R568" t="s">
        <v>161</v>
      </c>
    </row>
    <row r="569" spans="1:18" x14ac:dyDescent="0.3">
      <c r="A569" t="s">
        <v>884</v>
      </c>
      <c r="B569" t="s">
        <v>3331</v>
      </c>
      <c r="C569" t="s">
        <v>2578</v>
      </c>
      <c r="D569" t="s">
        <v>2610</v>
      </c>
      <c r="E569" t="s">
        <v>3339</v>
      </c>
      <c r="F569" t="s">
        <v>2598</v>
      </c>
      <c r="G569" t="s">
        <v>161</v>
      </c>
      <c r="H569" t="s">
        <v>2603</v>
      </c>
      <c r="I569" t="s">
        <v>2603</v>
      </c>
      <c r="J569" t="s">
        <v>2612</v>
      </c>
      <c r="M569" t="s">
        <v>161</v>
      </c>
      <c r="N569" s="54">
        <v>45028.745196759257</v>
      </c>
      <c r="O569" s="54"/>
      <c r="P569" s="54"/>
      <c r="Q569" t="s">
        <v>2613</v>
      </c>
      <c r="R569" t="s">
        <v>161</v>
      </c>
    </row>
    <row r="570" spans="1:18" x14ac:dyDescent="0.3">
      <c r="A570" t="s">
        <v>884</v>
      </c>
      <c r="B570" t="s">
        <v>3331</v>
      </c>
      <c r="C570" t="s">
        <v>2578</v>
      </c>
      <c r="D570" t="s">
        <v>2610</v>
      </c>
      <c r="E570" t="s">
        <v>3340</v>
      </c>
      <c r="F570" t="s">
        <v>2598</v>
      </c>
      <c r="G570" t="s">
        <v>161</v>
      </c>
      <c r="H570" t="s">
        <v>2603</v>
      </c>
      <c r="I570" t="s">
        <v>2603</v>
      </c>
      <c r="J570" t="s">
        <v>2612</v>
      </c>
      <c r="M570" t="s">
        <v>161</v>
      </c>
      <c r="N570" s="54">
        <v>45028.745405092595</v>
      </c>
      <c r="O570" s="54"/>
      <c r="P570" s="54"/>
      <c r="Q570" t="s">
        <v>2613</v>
      </c>
      <c r="R570" t="s">
        <v>161</v>
      </c>
    </row>
    <row r="571" spans="1:18" x14ac:dyDescent="0.3">
      <c r="A571" t="s">
        <v>884</v>
      </c>
      <c r="B571" t="s">
        <v>3331</v>
      </c>
      <c r="C571" t="s">
        <v>2578</v>
      </c>
      <c r="D571" t="s">
        <v>2610</v>
      </c>
      <c r="E571" t="s">
        <v>3341</v>
      </c>
      <c r="F571" t="s">
        <v>2598</v>
      </c>
      <c r="G571" t="s">
        <v>161</v>
      </c>
      <c r="H571" t="s">
        <v>2603</v>
      </c>
      <c r="I571" t="s">
        <v>2603</v>
      </c>
      <c r="J571" t="s">
        <v>2612</v>
      </c>
      <c r="M571" t="s">
        <v>161</v>
      </c>
      <c r="N571" s="54">
        <v>45028.745497685188</v>
      </c>
      <c r="O571" s="54"/>
      <c r="P571" s="54"/>
      <c r="Q571" t="s">
        <v>2613</v>
      </c>
      <c r="R571" t="s">
        <v>161</v>
      </c>
    </row>
    <row r="572" spans="1:18" x14ac:dyDescent="0.3">
      <c r="A572" t="s">
        <v>884</v>
      </c>
      <c r="B572" t="s">
        <v>3331</v>
      </c>
      <c r="C572" t="s">
        <v>2578</v>
      </c>
      <c r="D572" t="s">
        <v>2610</v>
      </c>
      <c r="E572" t="s">
        <v>3342</v>
      </c>
      <c r="F572" t="s">
        <v>2598</v>
      </c>
      <c r="G572" t="s">
        <v>161</v>
      </c>
      <c r="H572" t="s">
        <v>2603</v>
      </c>
      <c r="I572" t="s">
        <v>2603</v>
      </c>
      <c r="J572" t="s">
        <v>2612</v>
      </c>
      <c r="M572" t="s">
        <v>161</v>
      </c>
      <c r="N572" s="54">
        <v>45028.746053240742</v>
      </c>
      <c r="O572" s="54"/>
      <c r="P572" s="54"/>
      <c r="Q572" t="s">
        <v>2613</v>
      </c>
      <c r="R572" t="s">
        <v>161</v>
      </c>
    </row>
    <row r="573" spans="1:18" x14ac:dyDescent="0.3">
      <c r="A573" t="s">
        <v>884</v>
      </c>
      <c r="B573" t="s">
        <v>3331</v>
      </c>
      <c r="C573" t="s">
        <v>2578</v>
      </c>
      <c r="D573" t="s">
        <v>2610</v>
      </c>
      <c r="E573" t="s">
        <v>3343</v>
      </c>
      <c r="F573" t="s">
        <v>2598</v>
      </c>
      <c r="G573" t="s">
        <v>161</v>
      </c>
      <c r="H573" t="s">
        <v>2603</v>
      </c>
      <c r="I573" t="s">
        <v>2603</v>
      </c>
      <c r="J573" t="s">
        <v>2612</v>
      </c>
      <c r="M573" t="s">
        <v>161</v>
      </c>
      <c r="N573" s="54">
        <v>45028.746157407404</v>
      </c>
      <c r="O573" s="54"/>
      <c r="P573" s="54"/>
      <c r="Q573" t="s">
        <v>2613</v>
      </c>
      <c r="R573" t="s">
        <v>161</v>
      </c>
    </row>
    <row r="574" spans="1:18" x14ac:dyDescent="0.3">
      <c r="A574" t="s">
        <v>884</v>
      </c>
      <c r="B574" t="s">
        <v>3331</v>
      </c>
      <c r="C574" t="s">
        <v>2578</v>
      </c>
      <c r="D574" t="s">
        <v>2610</v>
      </c>
      <c r="E574" t="s">
        <v>3344</v>
      </c>
      <c r="F574" t="s">
        <v>2598</v>
      </c>
      <c r="G574" t="s">
        <v>161</v>
      </c>
      <c r="H574" t="s">
        <v>2603</v>
      </c>
      <c r="I574" t="s">
        <v>2603</v>
      </c>
      <c r="J574" t="s">
        <v>2612</v>
      </c>
      <c r="M574" t="s">
        <v>161</v>
      </c>
      <c r="N574" s="54">
        <v>45028.746261574073</v>
      </c>
      <c r="O574" s="54"/>
      <c r="P574" s="54"/>
      <c r="Q574" t="s">
        <v>2613</v>
      </c>
      <c r="R574" t="s">
        <v>161</v>
      </c>
    </row>
    <row r="575" spans="1:18" x14ac:dyDescent="0.3">
      <c r="A575" t="s">
        <v>884</v>
      </c>
      <c r="B575" t="s">
        <v>3345</v>
      </c>
      <c r="C575" t="s">
        <v>2578</v>
      </c>
      <c r="D575" t="s">
        <v>2610</v>
      </c>
      <c r="E575" t="s">
        <v>3346</v>
      </c>
      <c r="F575" t="s">
        <v>2581</v>
      </c>
      <c r="G575" t="s">
        <v>161</v>
      </c>
      <c r="H575" t="s">
        <v>2603</v>
      </c>
      <c r="I575" t="s">
        <v>2603</v>
      </c>
      <c r="J575" t="s">
        <v>2612</v>
      </c>
      <c r="M575" t="s">
        <v>161</v>
      </c>
      <c r="N575" s="54">
        <v>45028.748124999998</v>
      </c>
      <c r="O575" s="54"/>
      <c r="P575" s="54"/>
      <c r="Q575" t="s">
        <v>2613</v>
      </c>
      <c r="R575" t="s">
        <v>161</v>
      </c>
    </row>
    <row r="576" spans="1:18" x14ac:dyDescent="0.3">
      <c r="A576" t="s">
        <v>884</v>
      </c>
      <c r="B576" t="s">
        <v>3345</v>
      </c>
      <c r="C576" t="s">
        <v>2578</v>
      </c>
      <c r="D576" t="s">
        <v>2610</v>
      </c>
      <c r="E576" t="s">
        <v>3347</v>
      </c>
      <c r="F576" t="s">
        <v>2581</v>
      </c>
      <c r="G576" t="s">
        <v>161</v>
      </c>
      <c r="H576" t="s">
        <v>2603</v>
      </c>
      <c r="I576" t="s">
        <v>2603</v>
      </c>
      <c r="J576" t="s">
        <v>2612</v>
      </c>
      <c r="M576" t="s">
        <v>161</v>
      </c>
      <c r="N576" s="54">
        <v>45028.748298611114</v>
      </c>
      <c r="O576" s="54"/>
      <c r="P576" s="54"/>
      <c r="Q576" t="s">
        <v>2613</v>
      </c>
      <c r="R576" t="s">
        <v>161</v>
      </c>
    </row>
    <row r="577" spans="1:18" x14ac:dyDescent="0.3">
      <c r="A577" t="s">
        <v>884</v>
      </c>
      <c r="B577" t="s">
        <v>3345</v>
      </c>
      <c r="C577" t="s">
        <v>2578</v>
      </c>
      <c r="D577" t="s">
        <v>2610</v>
      </c>
      <c r="E577" t="s">
        <v>3348</v>
      </c>
      <c r="F577" t="s">
        <v>2581</v>
      </c>
      <c r="G577" t="s">
        <v>161</v>
      </c>
      <c r="H577" t="s">
        <v>2603</v>
      </c>
      <c r="I577" t="s">
        <v>2603</v>
      </c>
      <c r="J577" t="s">
        <v>2612</v>
      </c>
      <c r="M577" t="s">
        <v>161</v>
      </c>
      <c r="N577" s="54">
        <v>45028.747719907406</v>
      </c>
      <c r="O577" s="54"/>
      <c r="P577" s="54"/>
      <c r="Q577" t="s">
        <v>2613</v>
      </c>
      <c r="R577" t="s">
        <v>161</v>
      </c>
    </row>
    <row r="578" spans="1:18" x14ac:dyDescent="0.3">
      <c r="A578" t="s">
        <v>884</v>
      </c>
      <c r="B578" t="s">
        <v>3345</v>
      </c>
      <c r="C578" t="s">
        <v>2578</v>
      </c>
      <c r="D578" t="s">
        <v>2610</v>
      </c>
      <c r="E578" t="s">
        <v>3349</v>
      </c>
      <c r="F578" t="s">
        <v>2581</v>
      </c>
      <c r="G578" t="s">
        <v>161</v>
      </c>
      <c r="H578" t="s">
        <v>2603</v>
      </c>
      <c r="I578" t="s">
        <v>2603</v>
      </c>
      <c r="J578" t="s">
        <v>2612</v>
      </c>
      <c r="M578" t="s">
        <v>161</v>
      </c>
      <c r="N578" s="54">
        <v>45028.747835648152</v>
      </c>
      <c r="O578" s="54"/>
      <c r="P578" s="54"/>
      <c r="Q578" t="s">
        <v>2613</v>
      </c>
      <c r="R578" t="s">
        <v>161</v>
      </c>
    </row>
    <row r="579" spans="1:18" x14ac:dyDescent="0.3">
      <c r="A579" t="s">
        <v>884</v>
      </c>
      <c r="B579" t="s">
        <v>3345</v>
      </c>
      <c r="C579" t="s">
        <v>2578</v>
      </c>
      <c r="D579" t="s">
        <v>2610</v>
      </c>
      <c r="E579" t="s">
        <v>3350</v>
      </c>
      <c r="F579" t="s">
        <v>2581</v>
      </c>
      <c r="G579" t="s">
        <v>161</v>
      </c>
      <c r="H579" t="s">
        <v>2603</v>
      </c>
      <c r="I579" t="s">
        <v>2603</v>
      </c>
      <c r="J579" t="s">
        <v>2612</v>
      </c>
      <c r="M579" t="s">
        <v>161</v>
      </c>
      <c r="N579" s="54">
        <v>45028.747349537036</v>
      </c>
      <c r="O579" s="54"/>
      <c r="P579" s="54"/>
      <c r="Q579" t="s">
        <v>2613</v>
      </c>
      <c r="R579" t="s">
        <v>161</v>
      </c>
    </row>
    <row r="580" spans="1:18" x14ac:dyDescent="0.3">
      <c r="A580" t="s">
        <v>884</v>
      </c>
      <c r="B580" t="s">
        <v>3345</v>
      </c>
      <c r="C580" t="s">
        <v>2578</v>
      </c>
      <c r="D580" t="s">
        <v>2610</v>
      </c>
      <c r="E580" t="s">
        <v>3351</v>
      </c>
      <c r="F580" t="s">
        <v>2581</v>
      </c>
      <c r="G580" t="s">
        <v>161</v>
      </c>
      <c r="H580" t="s">
        <v>2603</v>
      </c>
      <c r="I580" t="s">
        <v>2603</v>
      </c>
      <c r="J580" t="s">
        <v>2612</v>
      </c>
      <c r="M580" t="s">
        <v>161</v>
      </c>
      <c r="N580" s="54">
        <v>45028.747442129628</v>
      </c>
      <c r="O580" s="54"/>
      <c r="P580" s="54"/>
      <c r="Q580" t="s">
        <v>2613</v>
      </c>
      <c r="R580" t="s">
        <v>161</v>
      </c>
    </row>
    <row r="581" spans="1:18" x14ac:dyDescent="0.3">
      <c r="A581" t="s">
        <v>884</v>
      </c>
      <c r="B581" t="s">
        <v>3345</v>
      </c>
      <c r="C581" t="s">
        <v>2578</v>
      </c>
      <c r="D581" t="s">
        <v>2610</v>
      </c>
      <c r="E581" t="s">
        <v>3352</v>
      </c>
      <c r="F581" t="s">
        <v>2581</v>
      </c>
      <c r="G581" t="s">
        <v>161</v>
      </c>
      <c r="H581" t="s">
        <v>2603</v>
      </c>
      <c r="I581" t="s">
        <v>2603</v>
      </c>
      <c r="J581" t="s">
        <v>2612</v>
      </c>
      <c r="M581" t="s">
        <v>161</v>
      </c>
      <c r="N581" s="54">
        <v>45028.747534722221</v>
      </c>
      <c r="O581" s="54"/>
      <c r="P581" s="54"/>
      <c r="Q581" t="s">
        <v>2613</v>
      </c>
      <c r="R581" t="s">
        <v>161</v>
      </c>
    </row>
    <row r="582" spans="1:18" x14ac:dyDescent="0.3">
      <c r="A582" t="s">
        <v>884</v>
      </c>
      <c r="B582" t="s">
        <v>3345</v>
      </c>
      <c r="C582" t="s">
        <v>2578</v>
      </c>
      <c r="D582" t="s">
        <v>2610</v>
      </c>
      <c r="E582" t="s">
        <v>3353</v>
      </c>
      <c r="F582" t="s">
        <v>2581</v>
      </c>
      <c r="G582" t="s">
        <v>161</v>
      </c>
      <c r="H582" t="s">
        <v>2603</v>
      </c>
      <c r="I582" t="s">
        <v>2603</v>
      </c>
      <c r="J582" t="s">
        <v>2612</v>
      </c>
      <c r="M582" t="s">
        <v>161</v>
      </c>
      <c r="N582" s="54">
        <v>45028.748553240737</v>
      </c>
      <c r="O582" s="54"/>
      <c r="P582" s="54"/>
      <c r="Q582" t="s">
        <v>2613</v>
      </c>
      <c r="R582" t="s">
        <v>161</v>
      </c>
    </row>
    <row r="583" spans="1:18" x14ac:dyDescent="0.3">
      <c r="A583" t="s">
        <v>884</v>
      </c>
      <c r="B583" t="s">
        <v>3345</v>
      </c>
      <c r="C583" t="s">
        <v>2578</v>
      </c>
      <c r="D583" t="s">
        <v>2610</v>
      </c>
      <c r="E583" t="s">
        <v>3354</v>
      </c>
      <c r="F583" t="s">
        <v>2581</v>
      </c>
      <c r="G583" t="s">
        <v>161</v>
      </c>
      <c r="H583" t="s">
        <v>2603</v>
      </c>
      <c r="I583" t="s">
        <v>2603</v>
      </c>
      <c r="J583" t="s">
        <v>2612</v>
      </c>
      <c r="M583" t="s">
        <v>161</v>
      </c>
      <c r="N583" s="54">
        <v>45028.748645833337</v>
      </c>
      <c r="O583" s="54"/>
      <c r="P583" s="54"/>
      <c r="Q583" t="s">
        <v>2613</v>
      </c>
      <c r="R583" t="s">
        <v>161</v>
      </c>
    </row>
    <row r="584" spans="1:18" x14ac:dyDescent="0.3">
      <c r="A584" t="s">
        <v>884</v>
      </c>
      <c r="B584" t="s">
        <v>3355</v>
      </c>
      <c r="C584" t="s">
        <v>2578</v>
      </c>
      <c r="D584" t="s">
        <v>2610</v>
      </c>
      <c r="E584" t="s">
        <v>3356</v>
      </c>
      <c r="F584" t="s">
        <v>2581</v>
      </c>
      <c r="G584" t="s">
        <v>161</v>
      </c>
      <c r="H584" t="s">
        <v>2603</v>
      </c>
      <c r="I584" t="s">
        <v>2603</v>
      </c>
      <c r="J584" t="s">
        <v>2612</v>
      </c>
      <c r="M584" t="s">
        <v>161</v>
      </c>
      <c r="N584" s="54">
        <v>45028.750393518516</v>
      </c>
      <c r="O584" s="54"/>
      <c r="P584" s="54"/>
      <c r="Q584" t="s">
        <v>2613</v>
      </c>
      <c r="R584" t="s">
        <v>161</v>
      </c>
    </row>
    <row r="585" spans="1:18" x14ac:dyDescent="0.3">
      <c r="A585" t="s">
        <v>884</v>
      </c>
      <c r="B585" t="s">
        <v>3355</v>
      </c>
      <c r="C585" t="s">
        <v>2578</v>
      </c>
      <c r="D585" t="s">
        <v>2610</v>
      </c>
      <c r="E585" t="s">
        <v>3357</v>
      </c>
      <c r="F585" t="s">
        <v>2581</v>
      </c>
      <c r="G585" t="s">
        <v>161</v>
      </c>
      <c r="H585" t="s">
        <v>2603</v>
      </c>
      <c r="I585" t="s">
        <v>2603</v>
      </c>
      <c r="J585" t="s">
        <v>2612</v>
      </c>
      <c r="M585" t="s">
        <v>161</v>
      </c>
      <c r="N585" s="54">
        <v>45028.750486111108</v>
      </c>
      <c r="O585" s="54"/>
      <c r="P585" s="54"/>
      <c r="Q585" t="s">
        <v>2613</v>
      </c>
      <c r="R585" t="s">
        <v>161</v>
      </c>
    </row>
    <row r="586" spans="1:18" x14ac:dyDescent="0.3">
      <c r="A586" t="s">
        <v>884</v>
      </c>
      <c r="B586" t="s">
        <v>3355</v>
      </c>
      <c r="C586" t="s">
        <v>2578</v>
      </c>
      <c r="D586" t="s">
        <v>2610</v>
      </c>
      <c r="E586" t="s">
        <v>3358</v>
      </c>
      <c r="F586" t="s">
        <v>2581</v>
      </c>
      <c r="G586" t="s">
        <v>161</v>
      </c>
      <c r="H586" t="s">
        <v>2603</v>
      </c>
      <c r="I586" t="s">
        <v>2603</v>
      </c>
      <c r="J586" t="s">
        <v>2612</v>
      </c>
      <c r="M586" t="s">
        <v>161</v>
      </c>
      <c r="N586" s="54">
        <v>45028.750590277778</v>
      </c>
      <c r="O586" s="54"/>
      <c r="P586" s="54"/>
      <c r="Q586" t="s">
        <v>2613</v>
      </c>
      <c r="R586" t="s">
        <v>161</v>
      </c>
    </row>
    <row r="587" spans="1:18" x14ac:dyDescent="0.3">
      <c r="A587" t="s">
        <v>884</v>
      </c>
      <c r="B587" t="s">
        <v>3355</v>
      </c>
      <c r="C587" t="s">
        <v>2578</v>
      </c>
      <c r="D587" t="s">
        <v>2610</v>
      </c>
      <c r="E587" t="s">
        <v>3359</v>
      </c>
      <c r="F587" t="s">
        <v>2581</v>
      </c>
      <c r="G587" t="s">
        <v>161</v>
      </c>
      <c r="H587" t="s">
        <v>2603</v>
      </c>
      <c r="I587" t="s">
        <v>2603</v>
      </c>
      <c r="J587" t="s">
        <v>2612</v>
      </c>
      <c r="M587" t="s">
        <v>161</v>
      </c>
      <c r="N587" s="54">
        <v>45028.750069444446</v>
      </c>
      <c r="O587" s="54"/>
      <c r="P587" s="54"/>
      <c r="Q587" t="s">
        <v>2613</v>
      </c>
      <c r="R587" t="s">
        <v>161</v>
      </c>
    </row>
    <row r="588" spans="1:18" x14ac:dyDescent="0.3">
      <c r="A588" t="s">
        <v>884</v>
      </c>
      <c r="B588" t="s">
        <v>3355</v>
      </c>
      <c r="C588" t="s">
        <v>2578</v>
      </c>
      <c r="D588" t="s">
        <v>2610</v>
      </c>
      <c r="E588" t="s">
        <v>3360</v>
      </c>
      <c r="F588" t="s">
        <v>2581</v>
      </c>
      <c r="G588" t="s">
        <v>161</v>
      </c>
      <c r="H588" t="s">
        <v>2603</v>
      </c>
      <c r="I588" t="s">
        <v>2603</v>
      </c>
      <c r="J588" t="s">
        <v>2612</v>
      </c>
      <c r="M588" t="s">
        <v>161</v>
      </c>
      <c r="N588" s="54">
        <v>45028.750277777777</v>
      </c>
      <c r="O588" s="54"/>
      <c r="P588" s="54"/>
      <c r="Q588" t="s">
        <v>2613</v>
      </c>
      <c r="R588" t="s">
        <v>161</v>
      </c>
    </row>
    <row r="589" spans="1:18" x14ac:dyDescent="0.3">
      <c r="A589" t="s">
        <v>884</v>
      </c>
      <c r="B589" t="s">
        <v>3355</v>
      </c>
      <c r="C589" t="s">
        <v>2578</v>
      </c>
      <c r="D589" t="s">
        <v>2610</v>
      </c>
      <c r="E589" t="s">
        <v>3361</v>
      </c>
      <c r="F589" t="s">
        <v>2581</v>
      </c>
      <c r="G589" t="s">
        <v>161</v>
      </c>
      <c r="H589" t="s">
        <v>2603</v>
      </c>
      <c r="I589" t="s">
        <v>2603</v>
      </c>
      <c r="J589" t="s">
        <v>2612</v>
      </c>
      <c r="M589" t="s">
        <v>161</v>
      </c>
      <c r="N589" s="54">
        <v>45028.749212962961</v>
      </c>
      <c r="O589" s="54"/>
      <c r="P589" s="54"/>
      <c r="Q589" t="s">
        <v>2613</v>
      </c>
      <c r="R589" t="s">
        <v>161</v>
      </c>
    </row>
    <row r="590" spans="1:18" x14ac:dyDescent="0.3">
      <c r="A590" t="s">
        <v>884</v>
      </c>
      <c r="B590" t="s">
        <v>3355</v>
      </c>
      <c r="C590" t="s">
        <v>2578</v>
      </c>
      <c r="D590" t="s">
        <v>2610</v>
      </c>
      <c r="E590" t="s">
        <v>3362</v>
      </c>
      <c r="F590" t="s">
        <v>2581</v>
      </c>
      <c r="G590" t="s">
        <v>161</v>
      </c>
      <c r="H590" t="s">
        <v>2603</v>
      </c>
      <c r="I590" t="s">
        <v>2603</v>
      </c>
      <c r="J590" t="s">
        <v>2612</v>
      </c>
      <c r="M590" t="s">
        <v>161</v>
      </c>
      <c r="N590" s="54">
        <v>45028.74931712963</v>
      </c>
      <c r="O590" s="54"/>
      <c r="P590" s="54"/>
      <c r="Q590" t="s">
        <v>2613</v>
      </c>
      <c r="R590" t="s">
        <v>161</v>
      </c>
    </row>
    <row r="591" spans="1:18" x14ac:dyDescent="0.3">
      <c r="A591" t="s">
        <v>884</v>
      </c>
      <c r="B591" t="s">
        <v>3355</v>
      </c>
      <c r="C591" t="s">
        <v>2578</v>
      </c>
      <c r="D591" t="s">
        <v>2610</v>
      </c>
      <c r="E591" t="s">
        <v>3363</v>
      </c>
      <c r="F591" t="s">
        <v>2581</v>
      </c>
      <c r="G591" t="s">
        <v>161</v>
      </c>
      <c r="H591" t="s">
        <v>2603</v>
      </c>
      <c r="I591" t="s">
        <v>2603</v>
      </c>
      <c r="J591" t="s">
        <v>2612</v>
      </c>
      <c r="M591" t="s">
        <v>161</v>
      </c>
      <c r="N591" s="54">
        <v>45028.749432870369</v>
      </c>
      <c r="O591" s="54"/>
      <c r="P591" s="54"/>
      <c r="Q591" t="s">
        <v>2613</v>
      </c>
      <c r="R591" t="s">
        <v>161</v>
      </c>
    </row>
    <row r="592" spans="1:18" x14ac:dyDescent="0.3">
      <c r="A592" t="s">
        <v>884</v>
      </c>
      <c r="B592" t="s">
        <v>3355</v>
      </c>
      <c r="C592" t="s">
        <v>2578</v>
      </c>
      <c r="D592" t="s">
        <v>2610</v>
      </c>
      <c r="E592" t="s">
        <v>3364</v>
      </c>
      <c r="F592" t="s">
        <v>2581</v>
      </c>
      <c r="G592" t="s">
        <v>161</v>
      </c>
      <c r="H592" t="s">
        <v>2603</v>
      </c>
      <c r="I592" t="s">
        <v>2603</v>
      </c>
      <c r="J592" t="s">
        <v>2612</v>
      </c>
      <c r="M592" t="s">
        <v>161</v>
      </c>
      <c r="N592" s="54">
        <v>45028.749548611115</v>
      </c>
      <c r="O592" s="54"/>
      <c r="P592" s="54"/>
      <c r="Q592" t="s">
        <v>2613</v>
      </c>
      <c r="R592" t="s">
        <v>161</v>
      </c>
    </row>
    <row r="593" spans="1:18" x14ac:dyDescent="0.3">
      <c r="A593" t="s">
        <v>884</v>
      </c>
      <c r="B593" t="s">
        <v>3355</v>
      </c>
      <c r="C593" t="s">
        <v>2578</v>
      </c>
      <c r="D593" t="s">
        <v>2610</v>
      </c>
      <c r="E593" t="s">
        <v>3365</v>
      </c>
      <c r="F593" t="s">
        <v>2581</v>
      </c>
      <c r="G593" t="s">
        <v>161</v>
      </c>
      <c r="H593" t="s">
        <v>2603</v>
      </c>
      <c r="I593" t="s">
        <v>2603</v>
      </c>
      <c r="J593" t="s">
        <v>2612</v>
      </c>
      <c r="M593" t="s">
        <v>161</v>
      </c>
      <c r="N593" s="54">
        <v>45028.749699074076</v>
      </c>
      <c r="O593" s="54"/>
      <c r="P593" s="54"/>
      <c r="Q593" t="s">
        <v>2613</v>
      </c>
      <c r="R593" t="s">
        <v>161</v>
      </c>
    </row>
    <row r="594" spans="1:18" x14ac:dyDescent="0.3">
      <c r="A594" t="s">
        <v>884</v>
      </c>
      <c r="B594" t="s">
        <v>3355</v>
      </c>
      <c r="C594" t="s">
        <v>2578</v>
      </c>
      <c r="D594" t="s">
        <v>2610</v>
      </c>
      <c r="E594" t="s">
        <v>3366</v>
      </c>
      <c r="F594" t="s">
        <v>2581</v>
      </c>
      <c r="G594" t="s">
        <v>161</v>
      </c>
      <c r="H594" t="s">
        <v>2603</v>
      </c>
      <c r="I594" t="s">
        <v>2603</v>
      </c>
      <c r="J594" t="s">
        <v>2612</v>
      </c>
      <c r="M594" t="s">
        <v>161</v>
      </c>
      <c r="N594" s="54">
        <v>45028.749814814815</v>
      </c>
      <c r="O594" s="54"/>
      <c r="P594" s="54"/>
      <c r="Q594" t="s">
        <v>2613</v>
      </c>
      <c r="R594" t="s">
        <v>161</v>
      </c>
    </row>
    <row r="595" spans="1:18" x14ac:dyDescent="0.3">
      <c r="A595" t="s">
        <v>884</v>
      </c>
      <c r="B595" t="s">
        <v>3355</v>
      </c>
      <c r="C595" t="s">
        <v>2578</v>
      </c>
      <c r="D595" t="s">
        <v>2610</v>
      </c>
      <c r="E595" t="s">
        <v>3367</v>
      </c>
      <c r="F595" t="s">
        <v>2581</v>
      </c>
      <c r="G595" t="s">
        <v>161</v>
      </c>
      <c r="H595" t="s">
        <v>2603</v>
      </c>
      <c r="I595" t="s">
        <v>2603</v>
      </c>
      <c r="J595" t="s">
        <v>2612</v>
      </c>
      <c r="M595" t="s">
        <v>161</v>
      </c>
      <c r="N595" s="54">
        <v>45028.749942129631</v>
      </c>
      <c r="O595" s="54"/>
      <c r="P595" s="54"/>
      <c r="Q595" t="s">
        <v>2613</v>
      </c>
      <c r="R595" t="s">
        <v>161</v>
      </c>
    </row>
    <row r="596" spans="1:18" x14ac:dyDescent="0.3">
      <c r="A596" t="s">
        <v>884</v>
      </c>
      <c r="B596" t="s">
        <v>3355</v>
      </c>
      <c r="C596" t="s">
        <v>2578</v>
      </c>
      <c r="D596" t="s">
        <v>2610</v>
      </c>
      <c r="E596" t="s">
        <v>3368</v>
      </c>
      <c r="F596" t="s">
        <v>2581</v>
      </c>
      <c r="G596" t="s">
        <v>161</v>
      </c>
      <c r="H596" t="s">
        <v>2603</v>
      </c>
      <c r="I596" t="s">
        <v>2603</v>
      </c>
      <c r="J596" t="s">
        <v>2612</v>
      </c>
      <c r="M596" t="s">
        <v>161</v>
      </c>
      <c r="N596" s="54">
        <v>45028.750706018516</v>
      </c>
      <c r="O596" s="54"/>
      <c r="P596" s="54"/>
      <c r="Q596" t="s">
        <v>2613</v>
      </c>
      <c r="R596" t="s">
        <v>161</v>
      </c>
    </row>
    <row r="597" spans="1:18" x14ac:dyDescent="0.3">
      <c r="A597" t="s">
        <v>884</v>
      </c>
      <c r="B597" t="s">
        <v>3355</v>
      </c>
      <c r="C597" t="s">
        <v>2578</v>
      </c>
      <c r="D597" t="s">
        <v>2610</v>
      </c>
      <c r="E597" t="s">
        <v>3369</v>
      </c>
      <c r="F597" t="s">
        <v>2581</v>
      </c>
      <c r="G597" t="s">
        <v>161</v>
      </c>
      <c r="H597" t="s">
        <v>2603</v>
      </c>
      <c r="I597" t="s">
        <v>2603</v>
      </c>
      <c r="J597" t="s">
        <v>2612</v>
      </c>
      <c r="M597" t="s">
        <v>161</v>
      </c>
      <c r="N597" s="54">
        <v>45028.750798611109</v>
      </c>
      <c r="O597" s="54"/>
      <c r="P597" s="54"/>
      <c r="Q597" t="s">
        <v>2613</v>
      </c>
      <c r="R597" t="s">
        <v>161</v>
      </c>
    </row>
    <row r="598" spans="1:18" x14ac:dyDescent="0.3">
      <c r="A598" t="s">
        <v>884</v>
      </c>
      <c r="B598" t="s">
        <v>3355</v>
      </c>
      <c r="C598" t="s">
        <v>2578</v>
      </c>
      <c r="D598" t="s">
        <v>2610</v>
      </c>
      <c r="E598" t="s">
        <v>3370</v>
      </c>
      <c r="F598" t="s">
        <v>2581</v>
      </c>
      <c r="G598" t="s">
        <v>161</v>
      </c>
      <c r="H598" t="s">
        <v>2603</v>
      </c>
      <c r="I598" t="s">
        <v>2603</v>
      </c>
      <c r="J598" t="s">
        <v>2612</v>
      </c>
      <c r="M598" t="s">
        <v>161</v>
      </c>
      <c r="N598" s="54">
        <v>45028.750902777778</v>
      </c>
      <c r="O598" s="54"/>
      <c r="P598" s="54"/>
      <c r="Q598" t="s">
        <v>2613</v>
      </c>
      <c r="R598" t="s">
        <v>161</v>
      </c>
    </row>
    <row r="599" spans="1:18" x14ac:dyDescent="0.3">
      <c r="A599" t="s">
        <v>884</v>
      </c>
      <c r="B599" t="s">
        <v>3371</v>
      </c>
      <c r="C599" t="s">
        <v>2578</v>
      </c>
      <c r="D599" t="s">
        <v>2610</v>
      </c>
      <c r="E599" t="s">
        <v>3372</v>
      </c>
      <c r="F599" t="s">
        <v>2590</v>
      </c>
      <c r="G599" t="s">
        <v>161</v>
      </c>
      <c r="H599" t="s">
        <v>2603</v>
      </c>
      <c r="I599" t="s">
        <v>2603</v>
      </c>
      <c r="J599" t="s">
        <v>2612</v>
      </c>
      <c r="M599" t="s">
        <v>161</v>
      </c>
      <c r="N599" s="54">
        <v>45028.752997685187</v>
      </c>
      <c r="O599" s="54"/>
      <c r="P599" s="54"/>
      <c r="Q599" t="s">
        <v>2613</v>
      </c>
      <c r="R599" t="s">
        <v>161</v>
      </c>
    </row>
    <row r="600" spans="1:18" x14ac:dyDescent="0.3">
      <c r="A600" t="s">
        <v>884</v>
      </c>
      <c r="B600" t="s">
        <v>3371</v>
      </c>
      <c r="C600" t="s">
        <v>2578</v>
      </c>
      <c r="D600" t="s">
        <v>2610</v>
      </c>
      <c r="E600" t="s">
        <v>3373</v>
      </c>
      <c r="F600" t="s">
        <v>2590</v>
      </c>
      <c r="G600" t="s">
        <v>161</v>
      </c>
      <c r="H600" t="s">
        <v>2603</v>
      </c>
      <c r="I600" t="s">
        <v>2603</v>
      </c>
      <c r="J600" t="s">
        <v>2612</v>
      </c>
      <c r="M600" t="s">
        <v>161</v>
      </c>
      <c r="N600" s="54">
        <v>45028.753599537034</v>
      </c>
      <c r="O600" s="54"/>
      <c r="P600" s="54"/>
      <c r="Q600" t="s">
        <v>2613</v>
      </c>
      <c r="R600" t="s">
        <v>161</v>
      </c>
    </row>
    <row r="601" spans="1:18" x14ac:dyDescent="0.3">
      <c r="A601" t="s">
        <v>884</v>
      </c>
      <c r="B601" t="s">
        <v>3371</v>
      </c>
      <c r="C601" t="s">
        <v>2578</v>
      </c>
      <c r="D601" t="s">
        <v>2610</v>
      </c>
      <c r="E601" t="s">
        <v>3374</v>
      </c>
      <c r="F601" t="s">
        <v>2590</v>
      </c>
      <c r="G601" t="s">
        <v>161</v>
      </c>
      <c r="H601" t="s">
        <v>2603</v>
      </c>
      <c r="I601" t="s">
        <v>2603</v>
      </c>
      <c r="J601" t="s">
        <v>2612</v>
      </c>
      <c r="M601" t="s">
        <v>161</v>
      </c>
      <c r="N601" s="54">
        <v>45028.75372685185</v>
      </c>
      <c r="O601" s="54"/>
      <c r="P601" s="54"/>
      <c r="Q601" t="s">
        <v>2613</v>
      </c>
      <c r="R601" t="s">
        <v>161</v>
      </c>
    </row>
    <row r="602" spans="1:18" x14ac:dyDescent="0.3">
      <c r="A602" t="s">
        <v>884</v>
      </c>
      <c r="B602" t="s">
        <v>3371</v>
      </c>
      <c r="C602" t="s">
        <v>2578</v>
      </c>
      <c r="D602" t="s">
        <v>2610</v>
      </c>
      <c r="E602" t="s">
        <v>3375</v>
      </c>
      <c r="F602" t="s">
        <v>2590</v>
      </c>
      <c r="G602" t="s">
        <v>161</v>
      </c>
      <c r="H602" t="s">
        <v>2603</v>
      </c>
      <c r="I602" t="s">
        <v>2603</v>
      </c>
      <c r="J602" t="s">
        <v>2612</v>
      </c>
      <c r="M602" t="s">
        <v>161</v>
      </c>
      <c r="N602" s="54">
        <v>45028.753819444442</v>
      </c>
      <c r="O602" s="54"/>
      <c r="P602" s="54"/>
      <c r="Q602" t="s">
        <v>2613</v>
      </c>
      <c r="R602" t="s">
        <v>161</v>
      </c>
    </row>
    <row r="603" spans="1:18" x14ac:dyDescent="0.3">
      <c r="A603" t="s">
        <v>884</v>
      </c>
      <c r="B603" t="s">
        <v>3371</v>
      </c>
      <c r="C603" t="s">
        <v>2578</v>
      </c>
      <c r="D603" t="s">
        <v>2610</v>
      </c>
      <c r="E603" t="s">
        <v>3376</v>
      </c>
      <c r="F603" t="s">
        <v>2590</v>
      </c>
      <c r="G603" t="s">
        <v>161</v>
      </c>
      <c r="H603" t="s">
        <v>2603</v>
      </c>
      <c r="I603" t="s">
        <v>2603</v>
      </c>
      <c r="J603" t="s">
        <v>2612</v>
      </c>
      <c r="M603" t="s">
        <v>161</v>
      </c>
      <c r="N603" s="54">
        <v>45028.753935185188</v>
      </c>
      <c r="O603" s="54"/>
      <c r="P603" s="54"/>
      <c r="Q603" t="s">
        <v>2613</v>
      </c>
      <c r="R603" t="s">
        <v>161</v>
      </c>
    </row>
    <row r="604" spans="1:18" x14ac:dyDescent="0.3">
      <c r="A604" t="s">
        <v>884</v>
      </c>
      <c r="B604" t="s">
        <v>3371</v>
      </c>
      <c r="C604" t="s">
        <v>2578</v>
      </c>
      <c r="D604" t="s">
        <v>2610</v>
      </c>
      <c r="E604" t="s">
        <v>3377</v>
      </c>
      <c r="F604" t="s">
        <v>2590</v>
      </c>
      <c r="G604" t="s">
        <v>161</v>
      </c>
      <c r="H604" t="s">
        <v>2603</v>
      </c>
      <c r="I604" t="s">
        <v>2603</v>
      </c>
      <c r="J604" t="s">
        <v>2612</v>
      </c>
      <c r="M604" t="s">
        <v>161</v>
      </c>
      <c r="N604" s="54">
        <v>45028.754050925927</v>
      </c>
      <c r="O604" s="54"/>
      <c r="P604" s="54"/>
      <c r="Q604" t="s">
        <v>2613</v>
      </c>
      <c r="R604" t="s">
        <v>161</v>
      </c>
    </row>
    <row r="605" spans="1:18" x14ac:dyDescent="0.3">
      <c r="A605" t="s">
        <v>884</v>
      </c>
      <c r="B605" t="s">
        <v>3371</v>
      </c>
      <c r="C605" t="s">
        <v>2578</v>
      </c>
      <c r="D605" t="s">
        <v>2610</v>
      </c>
      <c r="E605" t="s">
        <v>3378</v>
      </c>
      <c r="F605" t="s">
        <v>2590</v>
      </c>
      <c r="G605" t="s">
        <v>161</v>
      </c>
      <c r="H605" t="s">
        <v>2603</v>
      </c>
      <c r="I605" t="s">
        <v>2603</v>
      </c>
      <c r="J605" t="s">
        <v>2612</v>
      </c>
      <c r="M605" t="s">
        <v>161</v>
      </c>
      <c r="N605" s="54">
        <v>45028.751562500001</v>
      </c>
      <c r="O605" s="54"/>
      <c r="P605" s="54"/>
      <c r="Q605" t="s">
        <v>2613</v>
      </c>
      <c r="R605" t="s">
        <v>161</v>
      </c>
    </row>
    <row r="606" spans="1:18" x14ac:dyDescent="0.3">
      <c r="A606" t="s">
        <v>884</v>
      </c>
      <c r="B606" t="s">
        <v>3371</v>
      </c>
      <c r="C606" t="s">
        <v>2578</v>
      </c>
      <c r="D606" t="s">
        <v>2610</v>
      </c>
      <c r="E606" t="s">
        <v>3379</v>
      </c>
      <c r="F606" t="s">
        <v>2590</v>
      </c>
      <c r="G606" t="s">
        <v>161</v>
      </c>
      <c r="H606" t="s">
        <v>2603</v>
      </c>
      <c r="I606" t="s">
        <v>2603</v>
      </c>
      <c r="J606" t="s">
        <v>2612</v>
      </c>
      <c r="M606" t="s">
        <v>161</v>
      </c>
      <c r="N606" s="54">
        <v>45028.752175925925</v>
      </c>
      <c r="O606" s="54"/>
      <c r="P606" s="54"/>
      <c r="Q606" t="s">
        <v>2613</v>
      </c>
      <c r="R606" t="s">
        <v>161</v>
      </c>
    </row>
    <row r="607" spans="1:18" x14ac:dyDescent="0.3">
      <c r="A607" t="s">
        <v>884</v>
      </c>
      <c r="B607" t="s">
        <v>3371</v>
      </c>
      <c r="C607" t="s">
        <v>2578</v>
      </c>
      <c r="D607" t="s">
        <v>2610</v>
      </c>
      <c r="E607" t="s">
        <v>3380</v>
      </c>
      <c r="F607" t="s">
        <v>2590</v>
      </c>
      <c r="G607" t="s">
        <v>161</v>
      </c>
      <c r="H607" t="s">
        <v>2603</v>
      </c>
      <c r="I607" t="s">
        <v>2603</v>
      </c>
      <c r="J607" t="s">
        <v>2612</v>
      </c>
      <c r="M607" t="s">
        <v>161</v>
      </c>
      <c r="N607" s="54">
        <v>45028.752303240741</v>
      </c>
      <c r="O607" s="54"/>
      <c r="P607" s="54"/>
      <c r="Q607" t="s">
        <v>2613</v>
      </c>
      <c r="R607" t="s">
        <v>161</v>
      </c>
    </row>
    <row r="608" spans="1:18" x14ac:dyDescent="0.3">
      <c r="A608" t="s">
        <v>884</v>
      </c>
      <c r="B608" t="s">
        <v>3371</v>
      </c>
      <c r="C608" t="s">
        <v>2578</v>
      </c>
      <c r="D608" t="s">
        <v>2610</v>
      </c>
      <c r="E608" t="s">
        <v>3381</v>
      </c>
      <c r="F608" t="s">
        <v>2590</v>
      </c>
      <c r="G608" t="s">
        <v>161</v>
      </c>
      <c r="H608" t="s">
        <v>2603</v>
      </c>
      <c r="I608" t="s">
        <v>2603</v>
      </c>
      <c r="J608" t="s">
        <v>2612</v>
      </c>
      <c r="M608" t="s">
        <v>161</v>
      </c>
      <c r="N608" s="54">
        <v>45028.752430555556</v>
      </c>
      <c r="O608" s="54"/>
      <c r="P608" s="54"/>
      <c r="Q608" t="s">
        <v>2613</v>
      </c>
      <c r="R608" t="s">
        <v>161</v>
      </c>
    </row>
    <row r="609" spans="1:18" x14ac:dyDescent="0.3">
      <c r="A609" t="s">
        <v>884</v>
      </c>
      <c r="B609" t="s">
        <v>3371</v>
      </c>
      <c r="C609" t="s">
        <v>2578</v>
      </c>
      <c r="D609" t="s">
        <v>2610</v>
      </c>
      <c r="E609" t="s">
        <v>3382</v>
      </c>
      <c r="F609" t="s">
        <v>2590</v>
      </c>
      <c r="G609" t="s">
        <v>161</v>
      </c>
      <c r="H609" t="s">
        <v>2603</v>
      </c>
      <c r="I609" t="s">
        <v>2603</v>
      </c>
      <c r="J609" t="s">
        <v>2612</v>
      </c>
      <c r="M609" t="s">
        <v>161</v>
      </c>
      <c r="N609" s="54">
        <v>45028.752534722225</v>
      </c>
      <c r="O609" s="54"/>
      <c r="P609" s="54"/>
      <c r="Q609" t="s">
        <v>2613</v>
      </c>
      <c r="R609" t="s">
        <v>161</v>
      </c>
    </row>
    <row r="610" spans="1:18" x14ac:dyDescent="0.3">
      <c r="A610" t="s">
        <v>884</v>
      </c>
      <c r="B610" t="s">
        <v>3371</v>
      </c>
      <c r="C610" t="s">
        <v>2578</v>
      </c>
      <c r="D610" t="s">
        <v>2610</v>
      </c>
      <c r="E610" t="s">
        <v>3383</v>
      </c>
      <c r="F610" t="s">
        <v>2590</v>
      </c>
      <c r="G610" t="s">
        <v>161</v>
      </c>
      <c r="H610" t="s">
        <v>2603</v>
      </c>
      <c r="I610" t="s">
        <v>2603</v>
      </c>
      <c r="J610" t="s">
        <v>2612</v>
      </c>
      <c r="M610" t="s">
        <v>161</v>
      </c>
      <c r="N610" s="54">
        <v>45028.752638888887</v>
      </c>
      <c r="O610" s="54"/>
      <c r="P610" s="54"/>
      <c r="Q610" t="s">
        <v>2613</v>
      </c>
      <c r="R610" t="s">
        <v>161</v>
      </c>
    </row>
    <row r="611" spans="1:18" x14ac:dyDescent="0.3">
      <c r="A611" t="s">
        <v>884</v>
      </c>
      <c r="B611" t="s">
        <v>3371</v>
      </c>
      <c r="C611" t="s">
        <v>2578</v>
      </c>
      <c r="D611" t="s">
        <v>2610</v>
      </c>
      <c r="E611" t="s">
        <v>3384</v>
      </c>
      <c r="F611" t="s">
        <v>2590</v>
      </c>
      <c r="G611" t="s">
        <v>161</v>
      </c>
      <c r="H611" t="s">
        <v>2603</v>
      </c>
      <c r="I611" t="s">
        <v>2603</v>
      </c>
      <c r="J611" t="s">
        <v>2612</v>
      </c>
      <c r="M611" t="s">
        <v>161</v>
      </c>
      <c r="N611" s="54">
        <v>45028.752743055556</v>
      </c>
      <c r="O611" s="54"/>
      <c r="P611" s="54"/>
      <c r="Q611" t="s">
        <v>2613</v>
      </c>
      <c r="R611" t="s">
        <v>161</v>
      </c>
    </row>
    <row r="612" spans="1:18" x14ac:dyDescent="0.3">
      <c r="A612" t="s">
        <v>884</v>
      </c>
      <c r="B612" t="s">
        <v>3371</v>
      </c>
      <c r="C612" t="s">
        <v>2578</v>
      </c>
      <c r="D612" t="s">
        <v>2610</v>
      </c>
      <c r="E612" t="s">
        <v>3385</v>
      </c>
      <c r="F612" t="s">
        <v>2590</v>
      </c>
      <c r="G612" t="s">
        <v>161</v>
      </c>
      <c r="H612" t="s">
        <v>2603</v>
      </c>
      <c r="I612" t="s">
        <v>2603</v>
      </c>
      <c r="J612" t="s">
        <v>2612</v>
      </c>
      <c r="M612" t="s">
        <v>161</v>
      </c>
      <c r="N612" s="54">
        <v>45028.752824074072</v>
      </c>
      <c r="O612" s="54"/>
      <c r="P612" s="54"/>
      <c r="Q612" t="s">
        <v>2613</v>
      </c>
      <c r="R612" t="s">
        <v>161</v>
      </c>
    </row>
    <row r="613" spans="1:18" x14ac:dyDescent="0.3">
      <c r="A613" t="s">
        <v>884</v>
      </c>
      <c r="B613" t="s">
        <v>3371</v>
      </c>
      <c r="C613" t="s">
        <v>2578</v>
      </c>
      <c r="D613" t="s">
        <v>2610</v>
      </c>
      <c r="E613" t="s">
        <v>3386</v>
      </c>
      <c r="F613" t="s">
        <v>2590</v>
      </c>
      <c r="G613" t="s">
        <v>161</v>
      </c>
      <c r="H613" t="s">
        <v>2603</v>
      </c>
      <c r="I613" t="s">
        <v>2603</v>
      </c>
      <c r="J613" t="s">
        <v>2612</v>
      </c>
      <c r="M613" t="s">
        <v>161</v>
      </c>
      <c r="N613" s="54">
        <v>45028.754201388889</v>
      </c>
      <c r="O613" s="54"/>
      <c r="P613" s="54"/>
      <c r="Q613" t="s">
        <v>2613</v>
      </c>
      <c r="R613" t="s">
        <v>161</v>
      </c>
    </row>
    <row r="614" spans="1:18" x14ac:dyDescent="0.3">
      <c r="A614" t="s">
        <v>884</v>
      </c>
      <c r="B614" t="s">
        <v>3371</v>
      </c>
      <c r="C614" t="s">
        <v>2578</v>
      </c>
      <c r="D614" t="s">
        <v>2610</v>
      </c>
      <c r="E614" t="s">
        <v>3387</v>
      </c>
      <c r="F614" t="s">
        <v>2590</v>
      </c>
      <c r="G614" t="s">
        <v>161</v>
      </c>
      <c r="H614" t="s">
        <v>2603</v>
      </c>
      <c r="I614" t="s">
        <v>2603</v>
      </c>
      <c r="J614" t="s">
        <v>2612</v>
      </c>
      <c r="M614" t="s">
        <v>161</v>
      </c>
      <c r="N614" s="54">
        <v>45028.754305555558</v>
      </c>
      <c r="O614" s="54"/>
      <c r="P614" s="54"/>
      <c r="Q614" t="s">
        <v>2613</v>
      </c>
      <c r="R614" t="s">
        <v>161</v>
      </c>
    </row>
    <row r="615" spans="1:18" x14ac:dyDescent="0.3">
      <c r="A615" t="s">
        <v>884</v>
      </c>
      <c r="B615" t="s">
        <v>3371</v>
      </c>
      <c r="C615" t="s">
        <v>2578</v>
      </c>
      <c r="D615" t="s">
        <v>2610</v>
      </c>
      <c r="E615" t="s">
        <v>3388</v>
      </c>
      <c r="F615" t="s">
        <v>2590</v>
      </c>
      <c r="G615" t="s">
        <v>161</v>
      </c>
      <c r="H615" t="s">
        <v>2603</v>
      </c>
      <c r="I615" t="s">
        <v>2603</v>
      </c>
      <c r="J615" t="s">
        <v>2612</v>
      </c>
      <c r="M615" t="s">
        <v>161</v>
      </c>
      <c r="N615" s="54">
        <v>45483.647245370368</v>
      </c>
      <c r="O615" s="54"/>
      <c r="P615" s="54"/>
      <c r="Q615" t="s">
        <v>2613</v>
      </c>
      <c r="R615" t="s">
        <v>161</v>
      </c>
    </row>
    <row r="616" spans="1:18" x14ac:dyDescent="0.3">
      <c r="A616" t="s">
        <v>884</v>
      </c>
      <c r="B616" t="s">
        <v>3371</v>
      </c>
      <c r="C616" t="s">
        <v>2578</v>
      </c>
      <c r="D616" t="s">
        <v>2610</v>
      </c>
      <c r="E616" t="s">
        <v>3389</v>
      </c>
      <c r="F616" t="s">
        <v>2590</v>
      </c>
      <c r="G616" t="s">
        <v>161</v>
      </c>
      <c r="H616" t="s">
        <v>2603</v>
      </c>
      <c r="I616" t="s">
        <v>2603</v>
      </c>
      <c r="J616" t="s">
        <v>2612</v>
      </c>
      <c r="M616" t="s">
        <v>161</v>
      </c>
      <c r="N616" s="54">
        <v>45643.644143518519</v>
      </c>
      <c r="O616" s="54"/>
      <c r="P616" s="54"/>
      <c r="Q616" t="s">
        <v>2613</v>
      </c>
      <c r="R616" t="s">
        <v>161</v>
      </c>
    </row>
    <row r="617" spans="1:18" x14ac:dyDescent="0.3">
      <c r="A617" t="s">
        <v>884</v>
      </c>
      <c r="B617" t="s">
        <v>3390</v>
      </c>
      <c r="C617" t="s">
        <v>2578</v>
      </c>
      <c r="D617" t="s">
        <v>2610</v>
      </c>
      <c r="E617" t="s">
        <v>3391</v>
      </c>
      <c r="F617" t="s">
        <v>2590</v>
      </c>
      <c r="G617" t="s">
        <v>161</v>
      </c>
      <c r="H617" t="s">
        <v>2603</v>
      </c>
      <c r="I617" t="s">
        <v>2603</v>
      </c>
      <c r="J617" t="s">
        <v>2773</v>
      </c>
      <c r="M617" t="s">
        <v>161</v>
      </c>
      <c r="N617" s="54">
        <v>45576.495370370372</v>
      </c>
      <c r="O617" s="54"/>
      <c r="P617" s="54"/>
      <c r="Q617" t="s">
        <v>2613</v>
      </c>
      <c r="R617" t="s">
        <v>161</v>
      </c>
    </row>
    <row r="618" spans="1:18" x14ac:dyDescent="0.3">
      <c r="A618" t="s">
        <v>884</v>
      </c>
      <c r="B618" t="s">
        <v>3390</v>
      </c>
      <c r="C618" t="s">
        <v>2578</v>
      </c>
      <c r="D618" t="s">
        <v>2610</v>
      </c>
      <c r="E618" t="s">
        <v>3392</v>
      </c>
      <c r="F618" t="s">
        <v>2590</v>
      </c>
      <c r="G618" t="s">
        <v>161</v>
      </c>
      <c r="H618" t="s">
        <v>2603</v>
      </c>
      <c r="I618" t="s">
        <v>2603</v>
      </c>
      <c r="J618" t="s">
        <v>2773</v>
      </c>
      <c r="M618" t="s">
        <v>161</v>
      </c>
      <c r="N618" s="54">
        <v>45015</v>
      </c>
      <c r="O618" s="54"/>
      <c r="P618" s="54"/>
      <c r="Q618" t="s">
        <v>2613</v>
      </c>
      <c r="R618" t="s">
        <v>161</v>
      </c>
    </row>
    <row r="619" spans="1:18" x14ac:dyDescent="0.3">
      <c r="A619" t="s">
        <v>884</v>
      </c>
      <c r="B619" t="s">
        <v>3390</v>
      </c>
      <c r="C619" t="s">
        <v>2578</v>
      </c>
      <c r="D619" t="s">
        <v>2610</v>
      </c>
      <c r="E619" t="s">
        <v>3393</v>
      </c>
      <c r="F619" t="s">
        <v>2590</v>
      </c>
      <c r="G619" t="s">
        <v>161</v>
      </c>
      <c r="H619" t="s">
        <v>2603</v>
      </c>
      <c r="I619" t="s">
        <v>2603</v>
      </c>
      <c r="J619" t="s">
        <v>2773</v>
      </c>
      <c r="M619" t="s">
        <v>161</v>
      </c>
      <c r="N619" s="54">
        <v>45015</v>
      </c>
      <c r="O619" s="54"/>
      <c r="P619" s="54"/>
      <c r="Q619" t="s">
        <v>2613</v>
      </c>
      <c r="R619" t="s">
        <v>161</v>
      </c>
    </row>
    <row r="620" spans="1:18" x14ac:dyDescent="0.3">
      <c r="A620" t="s">
        <v>884</v>
      </c>
      <c r="B620" t="s">
        <v>3390</v>
      </c>
      <c r="C620" t="s">
        <v>2578</v>
      </c>
      <c r="D620" t="s">
        <v>2610</v>
      </c>
      <c r="E620" t="s">
        <v>3394</v>
      </c>
      <c r="F620" t="s">
        <v>2590</v>
      </c>
      <c r="G620" t="s">
        <v>161</v>
      </c>
      <c r="H620" t="s">
        <v>2603</v>
      </c>
      <c r="I620" t="s">
        <v>2603</v>
      </c>
      <c r="J620" t="s">
        <v>2773</v>
      </c>
      <c r="M620" t="s">
        <v>161</v>
      </c>
      <c r="N620" s="54">
        <v>45631.643171296295</v>
      </c>
      <c r="O620" s="54"/>
      <c r="P620" s="54"/>
      <c r="Q620" t="s">
        <v>2613</v>
      </c>
      <c r="R620" t="s">
        <v>161</v>
      </c>
    </row>
    <row r="621" spans="1:18" x14ac:dyDescent="0.3">
      <c r="A621" t="s">
        <v>884</v>
      </c>
      <c r="B621" t="s">
        <v>3390</v>
      </c>
      <c r="C621" t="s">
        <v>2578</v>
      </c>
      <c r="D621" t="s">
        <v>2610</v>
      </c>
      <c r="E621" t="s">
        <v>3395</v>
      </c>
      <c r="F621" t="s">
        <v>2590</v>
      </c>
      <c r="G621" t="s">
        <v>161</v>
      </c>
      <c r="H621" t="s">
        <v>2603</v>
      </c>
      <c r="I621" t="s">
        <v>2603</v>
      </c>
      <c r="J621" t="s">
        <v>2773</v>
      </c>
      <c r="M621" t="s">
        <v>161</v>
      </c>
      <c r="N621" s="54">
        <v>45744.913437499999</v>
      </c>
      <c r="O621" s="54"/>
      <c r="P621" s="54"/>
      <c r="Q621" t="s">
        <v>2613</v>
      </c>
      <c r="R621" t="s">
        <v>161</v>
      </c>
    </row>
    <row r="622" spans="1:18" x14ac:dyDescent="0.3">
      <c r="A622" t="s">
        <v>884</v>
      </c>
      <c r="B622" t="s">
        <v>3396</v>
      </c>
      <c r="C622" t="s">
        <v>2578</v>
      </c>
      <c r="D622" t="s">
        <v>2610</v>
      </c>
      <c r="E622" t="s">
        <v>3397</v>
      </c>
      <c r="F622" t="s">
        <v>2590</v>
      </c>
      <c r="G622" t="s">
        <v>161</v>
      </c>
      <c r="H622" t="s">
        <v>2694</v>
      </c>
      <c r="I622" t="s">
        <v>2695</v>
      </c>
      <c r="J622" t="s">
        <v>2696</v>
      </c>
      <c r="M622" t="s">
        <v>161</v>
      </c>
      <c r="N622" s="54">
        <v>45010.6950462963</v>
      </c>
      <c r="O622" s="54"/>
      <c r="P622" s="54"/>
      <c r="Q622" t="s">
        <v>2613</v>
      </c>
      <c r="R622" t="s">
        <v>161</v>
      </c>
    </row>
    <row r="623" spans="1:18" x14ac:dyDescent="0.3">
      <c r="A623" t="s">
        <v>884</v>
      </c>
      <c r="B623" t="s">
        <v>3396</v>
      </c>
      <c r="C623" t="s">
        <v>2578</v>
      </c>
      <c r="D623" t="s">
        <v>2610</v>
      </c>
      <c r="E623" t="s">
        <v>3398</v>
      </c>
      <c r="F623" t="s">
        <v>2590</v>
      </c>
      <c r="G623" t="s">
        <v>161</v>
      </c>
      <c r="H623" t="s">
        <v>2694</v>
      </c>
      <c r="I623" t="s">
        <v>2695</v>
      </c>
      <c r="J623" t="s">
        <v>2696</v>
      </c>
      <c r="M623" t="s">
        <v>161</v>
      </c>
      <c r="N623" s="54">
        <v>45010.695277777777</v>
      </c>
      <c r="O623" s="54"/>
      <c r="P623" s="54"/>
      <c r="Q623" t="s">
        <v>2613</v>
      </c>
      <c r="R623" t="s">
        <v>161</v>
      </c>
    </row>
    <row r="624" spans="1:18" x14ac:dyDescent="0.3">
      <c r="A624" t="s">
        <v>884</v>
      </c>
      <c r="B624" t="s">
        <v>3399</v>
      </c>
      <c r="C624" t="s">
        <v>2578</v>
      </c>
      <c r="D624" t="s">
        <v>2610</v>
      </c>
      <c r="E624" t="s">
        <v>3400</v>
      </c>
      <c r="F624" t="s">
        <v>2598</v>
      </c>
      <c r="G624" t="s">
        <v>161</v>
      </c>
      <c r="H624" t="s">
        <v>2603</v>
      </c>
      <c r="I624" t="s">
        <v>2603</v>
      </c>
      <c r="J624" t="s">
        <v>2604</v>
      </c>
      <c r="M624" t="s">
        <v>161</v>
      </c>
      <c r="N624" s="54">
        <v>45753.814456018517</v>
      </c>
      <c r="O624" s="54"/>
      <c r="P624" s="54"/>
      <c r="Q624" t="s">
        <v>2613</v>
      </c>
      <c r="R624" t="s">
        <v>161</v>
      </c>
    </row>
    <row r="625" spans="1:18" x14ac:dyDescent="0.3">
      <c r="A625" t="s">
        <v>884</v>
      </c>
      <c r="B625" t="s">
        <v>3399</v>
      </c>
      <c r="C625" t="s">
        <v>2578</v>
      </c>
      <c r="D625" t="s">
        <v>2610</v>
      </c>
      <c r="E625" t="s">
        <v>3401</v>
      </c>
      <c r="F625" t="s">
        <v>2598</v>
      </c>
      <c r="G625" t="s">
        <v>161</v>
      </c>
      <c r="H625" t="s">
        <v>2603</v>
      </c>
      <c r="I625" t="s">
        <v>2603</v>
      </c>
      <c r="J625" t="s">
        <v>2604</v>
      </c>
      <c r="M625" t="s">
        <v>161</v>
      </c>
      <c r="N625" s="54">
        <v>45803.400937500002</v>
      </c>
      <c r="O625" s="54"/>
      <c r="P625" s="54"/>
      <c r="Q625" t="s">
        <v>2613</v>
      </c>
      <c r="R625" t="s">
        <v>161</v>
      </c>
    </row>
    <row r="626" spans="1:18" x14ac:dyDescent="0.3">
      <c r="A626" t="s">
        <v>884</v>
      </c>
      <c r="B626" t="s">
        <v>3399</v>
      </c>
      <c r="C626" t="s">
        <v>2578</v>
      </c>
      <c r="D626" t="s">
        <v>2610</v>
      </c>
      <c r="E626" t="s">
        <v>3402</v>
      </c>
      <c r="F626" t="s">
        <v>2598</v>
      </c>
      <c r="G626" t="s">
        <v>161</v>
      </c>
      <c r="H626" t="s">
        <v>2603</v>
      </c>
      <c r="I626" t="s">
        <v>2603</v>
      </c>
      <c r="J626" t="s">
        <v>2604</v>
      </c>
      <c r="M626" t="s">
        <v>161</v>
      </c>
      <c r="N626" s="54">
        <v>45782.431701388887</v>
      </c>
      <c r="O626" s="54"/>
      <c r="P626" s="54"/>
      <c r="Q626" t="s">
        <v>2613</v>
      </c>
      <c r="R626" t="s">
        <v>161</v>
      </c>
    </row>
    <row r="627" spans="1:18" x14ac:dyDescent="0.3">
      <c r="A627" t="s">
        <v>884</v>
      </c>
      <c r="B627" t="s">
        <v>3399</v>
      </c>
      <c r="C627" t="s">
        <v>2578</v>
      </c>
      <c r="D627" t="s">
        <v>2610</v>
      </c>
      <c r="E627" t="s">
        <v>3403</v>
      </c>
      <c r="F627" t="s">
        <v>2598</v>
      </c>
      <c r="G627" t="s">
        <v>161</v>
      </c>
      <c r="H627" t="s">
        <v>2603</v>
      </c>
      <c r="I627" t="s">
        <v>2603</v>
      </c>
      <c r="J627" t="s">
        <v>2604</v>
      </c>
      <c r="M627" t="s">
        <v>161</v>
      </c>
      <c r="N627" s="54">
        <v>45010.823437500003</v>
      </c>
      <c r="O627" s="54"/>
      <c r="P627" s="54"/>
      <c r="Q627" t="s">
        <v>2613</v>
      </c>
      <c r="R627" t="s">
        <v>161</v>
      </c>
    </row>
    <row r="628" spans="1:18" x14ac:dyDescent="0.3">
      <c r="A628" t="s">
        <v>884</v>
      </c>
      <c r="B628" t="s">
        <v>3399</v>
      </c>
      <c r="C628" t="s">
        <v>2578</v>
      </c>
      <c r="D628" t="s">
        <v>2610</v>
      </c>
      <c r="E628" t="s">
        <v>3404</v>
      </c>
      <c r="F628" t="s">
        <v>2598</v>
      </c>
      <c r="G628" t="s">
        <v>161</v>
      </c>
      <c r="H628" t="s">
        <v>2603</v>
      </c>
      <c r="I628" t="s">
        <v>2603</v>
      </c>
      <c r="J628" t="s">
        <v>2604</v>
      </c>
      <c r="M628" t="s">
        <v>161</v>
      </c>
      <c r="N628" s="54">
        <v>45010.823576388888</v>
      </c>
      <c r="O628" s="54"/>
      <c r="P628" s="54"/>
      <c r="Q628" t="s">
        <v>2613</v>
      </c>
      <c r="R628" t="s">
        <v>161</v>
      </c>
    </row>
    <row r="629" spans="1:18" x14ac:dyDescent="0.3">
      <c r="A629" t="s">
        <v>884</v>
      </c>
      <c r="B629" t="s">
        <v>3399</v>
      </c>
      <c r="C629" t="s">
        <v>2578</v>
      </c>
      <c r="D629" t="s">
        <v>2610</v>
      </c>
      <c r="E629" t="s">
        <v>3405</v>
      </c>
      <c r="F629" t="s">
        <v>2598</v>
      </c>
      <c r="G629" t="s">
        <v>161</v>
      </c>
      <c r="H629" t="s">
        <v>2603</v>
      </c>
      <c r="I629" t="s">
        <v>2603</v>
      </c>
      <c r="J629" t="s">
        <v>2604</v>
      </c>
      <c r="M629" t="s">
        <v>161</v>
      </c>
      <c r="N629" s="54">
        <v>45010.823703703703</v>
      </c>
      <c r="O629" s="54"/>
      <c r="P629" s="54"/>
      <c r="Q629" t="s">
        <v>2613</v>
      </c>
      <c r="R629" t="s">
        <v>161</v>
      </c>
    </row>
    <row r="630" spans="1:18" x14ac:dyDescent="0.3">
      <c r="A630" t="s">
        <v>884</v>
      </c>
      <c r="B630" t="s">
        <v>3399</v>
      </c>
      <c r="C630" t="s">
        <v>2578</v>
      </c>
      <c r="D630" t="s">
        <v>2610</v>
      </c>
      <c r="E630" t="s">
        <v>3406</v>
      </c>
      <c r="F630" t="s">
        <v>2598</v>
      </c>
      <c r="G630" t="s">
        <v>161</v>
      </c>
      <c r="H630" t="s">
        <v>2603</v>
      </c>
      <c r="I630" t="s">
        <v>2603</v>
      </c>
      <c r="J630" t="s">
        <v>2604</v>
      </c>
      <c r="M630" t="s">
        <v>161</v>
      </c>
      <c r="N630" s="54">
        <v>45010.823807870373</v>
      </c>
      <c r="O630" s="54"/>
      <c r="P630" s="54"/>
      <c r="Q630" t="s">
        <v>2613</v>
      </c>
      <c r="R630" t="s">
        <v>161</v>
      </c>
    </row>
    <row r="631" spans="1:18" x14ac:dyDescent="0.3">
      <c r="A631" t="s">
        <v>884</v>
      </c>
      <c r="B631" t="s">
        <v>3399</v>
      </c>
      <c r="C631" t="s">
        <v>2578</v>
      </c>
      <c r="D631" t="s">
        <v>2610</v>
      </c>
      <c r="E631" t="s">
        <v>3407</v>
      </c>
      <c r="F631" t="s">
        <v>2598</v>
      </c>
      <c r="G631" t="s">
        <v>161</v>
      </c>
      <c r="H631" t="s">
        <v>2603</v>
      </c>
      <c r="I631" t="s">
        <v>2603</v>
      </c>
      <c r="J631" t="s">
        <v>2604</v>
      </c>
      <c r="M631" t="s">
        <v>161</v>
      </c>
      <c r="N631" s="54">
        <v>45010.823993055557</v>
      </c>
      <c r="O631" s="54"/>
      <c r="P631" s="54"/>
      <c r="Q631" t="s">
        <v>2613</v>
      </c>
      <c r="R631" t="s">
        <v>161</v>
      </c>
    </row>
    <row r="632" spans="1:18" x14ac:dyDescent="0.3">
      <c r="A632" t="s">
        <v>884</v>
      </c>
      <c r="B632" t="s">
        <v>3399</v>
      </c>
      <c r="C632" t="s">
        <v>2578</v>
      </c>
      <c r="D632" t="s">
        <v>2610</v>
      </c>
      <c r="E632" t="s">
        <v>3408</v>
      </c>
      <c r="F632" t="s">
        <v>2598</v>
      </c>
      <c r="G632" t="s">
        <v>161</v>
      </c>
      <c r="H632" t="s">
        <v>2603</v>
      </c>
      <c r="I632" t="s">
        <v>2603</v>
      </c>
      <c r="J632" t="s">
        <v>2604</v>
      </c>
      <c r="M632" t="s">
        <v>161</v>
      </c>
      <c r="N632" s="54">
        <v>45010.824201388888</v>
      </c>
      <c r="O632" s="54"/>
      <c r="P632" s="54"/>
      <c r="Q632" t="s">
        <v>2613</v>
      </c>
      <c r="R632" t="s">
        <v>161</v>
      </c>
    </row>
    <row r="633" spans="1:18" x14ac:dyDescent="0.3">
      <c r="A633" t="s">
        <v>884</v>
      </c>
      <c r="B633" t="s">
        <v>3409</v>
      </c>
      <c r="C633" t="s">
        <v>2578</v>
      </c>
      <c r="D633" t="s">
        <v>2610</v>
      </c>
      <c r="E633" t="s">
        <v>3410</v>
      </c>
      <c r="F633" t="s">
        <v>2590</v>
      </c>
      <c r="G633" t="s">
        <v>161</v>
      </c>
      <c r="H633" t="s">
        <v>2603</v>
      </c>
      <c r="I633" t="s">
        <v>2603</v>
      </c>
      <c r="J633" t="s">
        <v>2741</v>
      </c>
      <c r="M633" t="s">
        <v>161</v>
      </c>
      <c r="N633" s="54">
        <v>45010.812847222223</v>
      </c>
      <c r="O633" s="54"/>
      <c r="P633" s="54"/>
      <c r="Q633" t="s">
        <v>2613</v>
      </c>
      <c r="R633" t="s">
        <v>161</v>
      </c>
    </row>
    <row r="634" spans="1:18" x14ac:dyDescent="0.3">
      <c r="A634" t="s">
        <v>884</v>
      </c>
      <c r="B634" t="s">
        <v>3409</v>
      </c>
      <c r="C634" t="s">
        <v>2578</v>
      </c>
      <c r="D634" t="s">
        <v>2610</v>
      </c>
      <c r="E634" t="s">
        <v>3411</v>
      </c>
      <c r="F634" t="s">
        <v>2590</v>
      </c>
      <c r="G634" t="s">
        <v>161</v>
      </c>
      <c r="H634" t="s">
        <v>2603</v>
      </c>
      <c r="I634" t="s">
        <v>2603</v>
      </c>
      <c r="J634" t="s">
        <v>2741</v>
      </c>
      <c r="M634" t="s">
        <v>161</v>
      </c>
      <c r="N634" s="54">
        <v>45010.813032407408</v>
      </c>
      <c r="O634" s="54"/>
      <c r="P634" s="54"/>
      <c r="Q634" t="s">
        <v>2613</v>
      </c>
      <c r="R634" t="s">
        <v>161</v>
      </c>
    </row>
    <row r="635" spans="1:18" x14ac:dyDescent="0.3">
      <c r="A635" t="s">
        <v>884</v>
      </c>
      <c r="B635" t="s">
        <v>3409</v>
      </c>
      <c r="C635" t="s">
        <v>2578</v>
      </c>
      <c r="D635" t="s">
        <v>2610</v>
      </c>
      <c r="E635" t="s">
        <v>3412</v>
      </c>
      <c r="F635" t="s">
        <v>2590</v>
      </c>
      <c r="G635" t="s">
        <v>161</v>
      </c>
      <c r="H635" t="s">
        <v>2603</v>
      </c>
      <c r="I635" t="s">
        <v>2603</v>
      </c>
      <c r="J635" t="s">
        <v>2741</v>
      </c>
      <c r="M635" t="s">
        <v>161</v>
      </c>
      <c r="N635" s="54">
        <v>45010.81318287037</v>
      </c>
      <c r="O635" s="54"/>
      <c r="P635" s="54"/>
      <c r="Q635" t="s">
        <v>2613</v>
      </c>
      <c r="R635" t="s">
        <v>161</v>
      </c>
    </row>
    <row r="636" spans="1:18" x14ac:dyDescent="0.3">
      <c r="A636" t="s">
        <v>884</v>
      </c>
      <c r="B636" t="s">
        <v>3409</v>
      </c>
      <c r="C636" t="s">
        <v>2578</v>
      </c>
      <c r="D636" t="s">
        <v>2610</v>
      </c>
      <c r="E636" t="s">
        <v>3413</v>
      </c>
      <c r="F636" t="s">
        <v>2590</v>
      </c>
      <c r="G636" t="s">
        <v>161</v>
      </c>
      <c r="H636" t="s">
        <v>2603</v>
      </c>
      <c r="I636" t="s">
        <v>2603</v>
      </c>
      <c r="J636" t="s">
        <v>2741</v>
      </c>
      <c r="M636" t="s">
        <v>161</v>
      </c>
      <c r="N636" s="54">
        <v>45758.487916666665</v>
      </c>
      <c r="O636" s="54"/>
      <c r="P636" s="54"/>
      <c r="Q636" t="s">
        <v>2613</v>
      </c>
      <c r="R636" t="s">
        <v>161</v>
      </c>
    </row>
    <row r="637" spans="1:18" x14ac:dyDescent="0.3">
      <c r="A637" t="s">
        <v>884</v>
      </c>
      <c r="B637" t="s">
        <v>3409</v>
      </c>
      <c r="C637" t="s">
        <v>2578</v>
      </c>
      <c r="D637" t="s">
        <v>2610</v>
      </c>
      <c r="E637" t="s">
        <v>3414</v>
      </c>
      <c r="F637" t="s">
        <v>2590</v>
      </c>
      <c r="G637" t="s">
        <v>161</v>
      </c>
      <c r="H637" t="s">
        <v>2603</v>
      </c>
      <c r="I637" t="s">
        <v>2603</v>
      </c>
      <c r="J637" t="s">
        <v>2741</v>
      </c>
      <c r="M637" t="s">
        <v>161</v>
      </c>
      <c r="N637" s="54">
        <v>45306.644525462965</v>
      </c>
      <c r="O637" s="54"/>
      <c r="P637" s="54"/>
      <c r="Q637" t="s">
        <v>2613</v>
      </c>
      <c r="R637" t="s">
        <v>161</v>
      </c>
    </row>
    <row r="638" spans="1:18" x14ac:dyDescent="0.3">
      <c r="A638" t="s">
        <v>884</v>
      </c>
      <c r="B638" t="s">
        <v>3415</v>
      </c>
      <c r="C638" t="s">
        <v>2578</v>
      </c>
      <c r="D638" t="s">
        <v>2610</v>
      </c>
      <c r="E638" t="s">
        <v>3416</v>
      </c>
      <c r="F638" t="s">
        <v>2590</v>
      </c>
      <c r="G638" t="s">
        <v>161</v>
      </c>
      <c r="H638" t="s">
        <v>2603</v>
      </c>
      <c r="I638" t="s">
        <v>2603</v>
      </c>
      <c r="J638" t="s">
        <v>2741</v>
      </c>
      <c r="M638" t="s">
        <v>161</v>
      </c>
      <c r="N638" s="54">
        <v>45010.813807870371</v>
      </c>
      <c r="O638" s="54"/>
      <c r="P638" s="54"/>
      <c r="Q638" t="s">
        <v>2613</v>
      </c>
      <c r="R638" t="s">
        <v>161</v>
      </c>
    </row>
    <row r="639" spans="1:18" x14ac:dyDescent="0.3">
      <c r="A639" t="s">
        <v>884</v>
      </c>
      <c r="B639" t="s">
        <v>3415</v>
      </c>
      <c r="C639" t="s">
        <v>2578</v>
      </c>
      <c r="D639" t="s">
        <v>2610</v>
      </c>
      <c r="E639" t="s">
        <v>3417</v>
      </c>
      <c r="F639" t="s">
        <v>2590</v>
      </c>
      <c r="G639" t="s">
        <v>161</v>
      </c>
      <c r="H639" t="s">
        <v>2603</v>
      </c>
      <c r="I639" t="s">
        <v>2603</v>
      </c>
      <c r="J639" t="s">
        <v>2741</v>
      </c>
      <c r="M639" t="s">
        <v>161</v>
      </c>
      <c r="N639" s="54">
        <v>45010.814062500001</v>
      </c>
      <c r="O639" s="54"/>
      <c r="P639" s="54"/>
      <c r="Q639" t="s">
        <v>2613</v>
      </c>
      <c r="R639" t="s">
        <v>161</v>
      </c>
    </row>
    <row r="640" spans="1:18" x14ac:dyDescent="0.3">
      <c r="A640" t="s">
        <v>884</v>
      </c>
      <c r="B640" t="s">
        <v>3415</v>
      </c>
      <c r="C640" t="s">
        <v>2578</v>
      </c>
      <c r="D640" t="s">
        <v>2610</v>
      </c>
      <c r="E640" t="s">
        <v>3418</v>
      </c>
      <c r="F640" t="s">
        <v>2590</v>
      </c>
      <c r="G640" t="s">
        <v>161</v>
      </c>
      <c r="H640" t="s">
        <v>2603</v>
      </c>
      <c r="I640" t="s">
        <v>2603</v>
      </c>
      <c r="J640" t="s">
        <v>2741</v>
      </c>
      <c r="M640" t="s">
        <v>161</v>
      </c>
      <c r="N640" s="54">
        <v>45010.814259259256</v>
      </c>
      <c r="O640" s="54"/>
      <c r="P640" s="54"/>
      <c r="Q640" t="s">
        <v>2613</v>
      </c>
      <c r="R640" t="s">
        <v>161</v>
      </c>
    </row>
    <row r="641" spans="1:18" x14ac:dyDescent="0.3">
      <c r="A641" t="s">
        <v>884</v>
      </c>
      <c r="B641" t="s">
        <v>3415</v>
      </c>
      <c r="C641" t="s">
        <v>2578</v>
      </c>
      <c r="D641" t="s">
        <v>2610</v>
      </c>
      <c r="E641" t="s">
        <v>3419</v>
      </c>
      <c r="F641" t="s">
        <v>2590</v>
      </c>
      <c r="G641" t="s">
        <v>161</v>
      </c>
      <c r="H641" t="s">
        <v>2603</v>
      </c>
      <c r="I641" t="s">
        <v>2603</v>
      </c>
      <c r="J641" t="s">
        <v>2741</v>
      </c>
      <c r="M641" t="s">
        <v>161</v>
      </c>
      <c r="N641" s="54">
        <v>45010.814444444448</v>
      </c>
      <c r="O641" s="54"/>
      <c r="P641" s="54"/>
      <c r="Q641" t="s">
        <v>2613</v>
      </c>
      <c r="R641" t="s">
        <v>161</v>
      </c>
    </row>
    <row r="642" spans="1:18" x14ac:dyDescent="0.3">
      <c r="A642" t="s">
        <v>884</v>
      </c>
      <c r="B642" t="s">
        <v>3415</v>
      </c>
      <c r="C642" t="s">
        <v>2578</v>
      </c>
      <c r="D642" t="s">
        <v>2610</v>
      </c>
      <c r="E642" t="s">
        <v>3420</v>
      </c>
      <c r="F642" t="s">
        <v>2590</v>
      </c>
      <c r="G642" t="s">
        <v>161</v>
      </c>
      <c r="H642" t="s">
        <v>2603</v>
      </c>
      <c r="I642" t="s">
        <v>2603</v>
      </c>
      <c r="J642" t="s">
        <v>2741</v>
      </c>
      <c r="M642" t="s">
        <v>161</v>
      </c>
      <c r="N642" s="54">
        <v>45010.81459490741</v>
      </c>
      <c r="O642" s="54"/>
      <c r="P642" s="54"/>
      <c r="Q642" t="s">
        <v>2613</v>
      </c>
      <c r="R642" t="s">
        <v>161</v>
      </c>
    </row>
    <row r="643" spans="1:18" x14ac:dyDescent="0.3">
      <c r="A643" t="s">
        <v>884</v>
      </c>
      <c r="B643" t="s">
        <v>3421</v>
      </c>
      <c r="C643" t="s">
        <v>2578</v>
      </c>
      <c r="D643" t="s">
        <v>2610</v>
      </c>
      <c r="E643" t="s">
        <v>3422</v>
      </c>
      <c r="F643" t="s">
        <v>2590</v>
      </c>
      <c r="G643" t="s">
        <v>161</v>
      </c>
      <c r="H643" t="s">
        <v>2603</v>
      </c>
      <c r="I643" t="s">
        <v>2603</v>
      </c>
      <c r="J643" t="s">
        <v>2741</v>
      </c>
      <c r="M643" t="s">
        <v>161</v>
      </c>
      <c r="N643" s="54">
        <v>45365.422175925924</v>
      </c>
      <c r="O643" s="54"/>
      <c r="P643" s="54"/>
      <c r="Q643" t="s">
        <v>2613</v>
      </c>
      <c r="R643" t="s">
        <v>161</v>
      </c>
    </row>
    <row r="644" spans="1:18" x14ac:dyDescent="0.3">
      <c r="A644" t="s">
        <v>884</v>
      </c>
      <c r="B644" t="s">
        <v>3421</v>
      </c>
      <c r="C644" t="s">
        <v>2578</v>
      </c>
      <c r="D644" t="s">
        <v>2610</v>
      </c>
      <c r="E644" t="s">
        <v>3423</v>
      </c>
      <c r="F644" t="s">
        <v>2590</v>
      </c>
      <c r="G644" t="s">
        <v>161</v>
      </c>
      <c r="H644" t="s">
        <v>2603</v>
      </c>
      <c r="I644" t="s">
        <v>2603</v>
      </c>
      <c r="J644" t="s">
        <v>2741</v>
      </c>
      <c r="M644" t="s">
        <v>161</v>
      </c>
      <c r="N644" s="54">
        <v>45010.812256944446</v>
      </c>
      <c r="O644" s="54"/>
      <c r="P644" s="54"/>
      <c r="Q644" t="s">
        <v>2613</v>
      </c>
      <c r="R644" t="s">
        <v>161</v>
      </c>
    </row>
    <row r="645" spans="1:18" x14ac:dyDescent="0.3">
      <c r="A645" t="s">
        <v>884</v>
      </c>
      <c r="B645" t="s">
        <v>3421</v>
      </c>
      <c r="C645" t="s">
        <v>2578</v>
      </c>
      <c r="D645" t="s">
        <v>2610</v>
      </c>
      <c r="E645" t="s">
        <v>3424</v>
      </c>
      <c r="F645" t="s">
        <v>2590</v>
      </c>
      <c r="G645" t="s">
        <v>161</v>
      </c>
      <c r="H645" t="s">
        <v>2603</v>
      </c>
      <c r="I645" t="s">
        <v>2603</v>
      </c>
      <c r="J645" t="s">
        <v>2741</v>
      </c>
      <c r="M645" t="s">
        <v>161</v>
      </c>
      <c r="N645" s="54">
        <v>45010.812442129631</v>
      </c>
      <c r="O645" s="54"/>
      <c r="P645" s="54"/>
      <c r="Q645" t="s">
        <v>2613</v>
      </c>
      <c r="R645" t="s">
        <v>161</v>
      </c>
    </row>
    <row r="646" spans="1:18" x14ac:dyDescent="0.3">
      <c r="A646" t="s">
        <v>884</v>
      </c>
      <c r="B646" t="s">
        <v>3421</v>
      </c>
      <c r="C646" t="s">
        <v>2578</v>
      </c>
      <c r="D646" t="s">
        <v>2610</v>
      </c>
      <c r="E646" t="s">
        <v>3425</v>
      </c>
      <c r="F646" t="s">
        <v>2590</v>
      </c>
      <c r="G646" t="s">
        <v>161</v>
      </c>
      <c r="H646" t="s">
        <v>2603</v>
      </c>
      <c r="I646" t="s">
        <v>2603</v>
      </c>
      <c r="J646" t="s">
        <v>2741</v>
      </c>
      <c r="M646" t="s">
        <v>161</v>
      </c>
      <c r="N646" s="54">
        <v>45275.647986111115</v>
      </c>
      <c r="O646" s="54"/>
      <c r="P646" s="54"/>
      <c r="Q646" t="s">
        <v>2613</v>
      </c>
      <c r="R646" t="s">
        <v>161</v>
      </c>
    </row>
    <row r="647" spans="1:18" x14ac:dyDescent="0.3">
      <c r="A647" t="s">
        <v>884</v>
      </c>
      <c r="B647" t="s">
        <v>3426</v>
      </c>
      <c r="C647" t="s">
        <v>2578</v>
      </c>
      <c r="D647" t="s">
        <v>2610</v>
      </c>
      <c r="E647" t="s">
        <v>3427</v>
      </c>
      <c r="F647" t="s">
        <v>2598</v>
      </c>
      <c r="G647" t="s">
        <v>161</v>
      </c>
      <c r="H647" t="s">
        <v>2603</v>
      </c>
      <c r="I647" t="s">
        <v>2603</v>
      </c>
      <c r="J647" t="s">
        <v>2604</v>
      </c>
      <c r="M647" t="s">
        <v>161</v>
      </c>
      <c r="N647" s="54">
        <v>45015</v>
      </c>
      <c r="O647" s="54"/>
      <c r="P647" s="54"/>
      <c r="Q647" t="s">
        <v>2613</v>
      </c>
      <c r="R647" t="s">
        <v>161</v>
      </c>
    </row>
    <row r="648" spans="1:18" x14ac:dyDescent="0.3">
      <c r="A648" t="s">
        <v>884</v>
      </c>
      <c r="B648" t="s">
        <v>3426</v>
      </c>
      <c r="C648" t="s">
        <v>2578</v>
      </c>
      <c r="D648" t="s">
        <v>2610</v>
      </c>
      <c r="E648" t="s">
        <v>3428</v>
      </c>
      <c r="F648" t="s">
        <v>2598</v>
      </c>
      <c r="G648" t="s">
        <v>161</v>
      </c>
      <c r="H648" t="s">
        <v>2603</v>
      </c>
      <c r="I648" t="s">
        <v>2603</v>
      </c>
      <c r="J648" t="s">
        <v>2604</v>
      </c>
      <c r="M648" t="s">
        <v>161</v>
      </c>
      <c r="N648" s="54">
        <v>45281.603773148148</v>
      </c>
      <c r="O648" s="54"/>
      <c r="P648" s="54"/>
      <c r="Q648" t="s">
        <v>2613</v>
      </c>
      <c r="R648" t="s">
        <v>161</v>
      </c>
    </row>
    <row r="649" spans="1:18" x14ac:dyDescent="0.3">
      <c r="A649" t="s">
        <v>884</v>
      </c>
      <c r="B649" t="s">
        <v>3429</v>
      </c>
      <c r="C649" t="s">
        <v>2578</v>
      </c>
      <c r="D649" t="s">
        <v>2610</v>
      </c>
      <c r="E649" t="s">
        <v>1736</v>
      </c>
      <c r="F649" t="s">
        <v>2590</v>
      </c>
      <c r="G649" t="s">
        <v>161</v>
      </c>
      <c r="H649" t="s">
        <v>2694</v>
      </c>
      <c r="I649" t="s">
        <v>2695</v>
      </c>
      <c r="J649" t="s">
        <v>2696</v>
      </c>
      <c r="M649" t="s">
        <v>161</v>
      </c>
      <c r="N649" s="54">
        <v>45742.721747685187</v>
      </c>
      <c r="O649" s="54"/>
      <c r="P649" s="54"/>
      <c r="Q649" t="s">
        <v>2613</v>
      </c>
      <c r="R649" t="s">
        <v>161</v>
      </c>
    </row>
    <row r="650" spans="1:18" x14ac:dyDescent="0.3">
      <c r="A650" t="s">
        <v>884</v>
      </c>
      <c r="B650" t="s">
        <v>3429</v>
      </c>
      <c r="C650" t="s">
        <v>2578</v>
      </c>
      <c r="D650" t="s">
        <v>2610</v>
      </c>
      <c r="E650" t="s">
        <v>1096</v>
      </c>
      <c r="F650" t="s">
        <v>2590</v>
      </c>
      <c r="G650" t="s">
        <v>161</v>
      </c>
      <c r="H650" t="s">
        <v>2694</v>
      </c>
      <c r="I650" t="s">
        <v>2695</v>
      </c>
      <c r="J650" t="s">
        <v>2696</v>
      </c>
      <c r="M650" t="s">
        <v>161</v>
      </c>
      <c r="N650" s="54">
        <v>45523.485648148147</v>
      </c>
      <c r="O650" s="54"/>
      <c r="P650" s="54"/>
      <c r="Q650" t="s">
        <v>2613</v>
      </c>
      <c r="R650" t="s">
        <v>161</v>
      </c>
    </row>
    <row r="651" spans="1:18" x14ac:dyDescent="0.3">
      <c r="A651" t="s">
        <v>884</v>
      </c>
      <c r="B651" t="s">
        <v>3430</v>
      </c>
      <c r="C651" t="s">
        <v>2578</v>
      </c>
      <c r="D651" t="s">
        <v>2610</v>
      </c>
      <c r="E651" t="s">
        <v>3431</v>
      </c>
      <c r="F651" t="s">
        <v>2735</v>
      </c>
      <c r="G651" t="s">
        <v>161</v>
      </c>
      <c r="H651" t="s">
        <v>2703</v>
      </c>
      <c r="I651" t="s">
        <v>2731</v>
      </c>
      <c r="J651" t="s">
        <v>2732</v>
      </c>
      <c r="M651" t="s">
        <v>161</v>
      </c>
      <c r="N651" s="54">
        <v>45015.743831018517</v>
      </c>
      <c r="O651" s="54"/>
      <c r="P651" s="54"/>
      <c r="Q651" t="s">
        <v>2613</v>
      </c>
      <c r="R651" t="s">
        <v>161</v>
      </c>
    </row>
    <row r="652" spans="1:18" x14ac:dyDescent="0.3">
      <c r="A652" t="s">
        <v>884</v>
      </c>
      <c r="B652" t="s">
        <v>3432</v>
      </c>
      <c r="C652" t="s">
        <v>2578</v>
      </c>
      <c r="D652" t="s">
        <v>2610</v>
      </c>
      <c r="E652" t="s">
        <v>3433</v>
      </c>
      <c r="F652" t="s">
        <v>2735</v>
      </c>
      <c r="G652" t="s">
        <v>161</v>
      </c>
      <c r="H652" t="s">
        <v>2703</v>
      </c>
      <c r="I652" t="s">
        <v>2884</v>
      </c>
      <c r="J652" t="s">
        <v>2885</v>
      </c>
      <c r="M652" t="s">
        <v>161</v>
      </c>
      <c r="N652" s="54">
        <v>45010.667349537034</v>
      </c>
      <c r="O652" s="54"/>
      <c r="P652" s="54"/>
      <c r="Q652" t="s">
        <v>2613</v>
      </c>
      <c r="R652" t="s">
        <v>161</v>
      </c>
    </row>
    <row r="653" spans="1:18" x14ac:dyDescent="0.3">
      <c r="A653" t="s">
        <v>884</v>
      </c>
      <c r="B653" t="s">
        <v>3432</v>
      </c>
      <c r="C653" t="s">
        <v>2578</v>
      </c>
      <c r="D653" t="s">
        <v>2610</v>
      </c>
      <c r="E653" t="s">
        <v>3434</v>
      </c>
      <c r="F653" t="s">
        <v>2735</v>
      </c>
      <c r="G653" t="s">
        <v>161</v>
      </c>
      <c r="H653" t="s">
        <v>2703</v>
      </c>
      <c r="I653" t="s">
        <v>2884</v>
      </c>
      <c r="J653" t="s">
        <v>2885</v>
      </c>
      <c r="M653" t="s">
        <v>161</v>
      </c>
      <c r="N653" s="54">
        <v>45010.667592592596</v>
      </c>
      <c r="O653" s="54"/>
      <c r="P653" s="54"/>
      <c r="Q653" t="s">
        <v>2613</v>
      </c>
      <c r="R653" t="s">
        <v>161</v>
      </c>
    </row>
    <row r="654" spans="1:18" x14ac:dyDescent="0.3">
      <c r="A654" t="s">
        <v>884</v>
      </c>
      <c r="B654" t="s">
        <v>3435</v>
      </c>
      <c r="C654" t="s">
        <v>2578</v>
      </c>
      <c r="D654" t="s">
        <v>2610</v>
      </c>
      <c r="E654" t="s">
        <v>3436</v>
      </c>
      <c r="F654" t="s">
        <v>2735</v>
      </c>
      <c r="G654" t="s">
        <v>161</v>
      </c>
      <c r="H654" t="s">
        <v>2703</v>
      </c>
      <c r="I654" t="s">
        <v>2884</v>
      </c>
      <c r="J654" t="s">
        <v>2885</v>
      </c>
      <c r="M654" t="s">
        <v>161</v>
      </c>
      <c r="N654" s="54">
        <v>45010.667743055557</v>
      </c>
      <c r="O654" s="54"/>
      <c r="P654" s="54"/>
      <c r="Q654" t="s">
        <v>2613</v>
      </c>
      <c r="R654" t="s">
        <v>161</v>
      </c>
    </row>
    <row r="655" spans="1:18" x14ac:dyDescent="0.3">
      <c r="A655" t="s">
        <v>884</v>
      </c>
      <c r="B655" t="s">
        <v>3435</v>
      </c>
      <c r="C655" t="s">
        <v>2578</v>
      </c>
      <c r="D655" t="s">
        <v>2610</v>
      </c>
      <c r="E655" t="s">
        <v>3437</v>
      </c>
      <c r="F655" t="s">
        <v>2735</v>
      </c>
      <c r="G655" t="s">
        <v>161</v>
      </c>
      <c r="H655" t="s">
        <v>2703</v>
      </c>
      <c r="I655" t="s">
        <v>2884</v>
      </c>
      <c r="J655" t="s">
        <v>2885</v>
      </c>
      <c r="M655" t="s">
        <v>161</v>
      </c>
      <c r="N655" s="54">
        <v>45010.667997685188</v>
      </c>
      <c r="O655" s="54"/>
      <c r="P655" s="54"/>
      <c r="Q655" t="s">
        <v>2613</v>
      </c>
      <c r="R655" t="s">
        <v>161</v>
      </c>
    </row>
    <row r="656" spans="1:18" x14ac:dyDescent="0.3">
      <c r="A656" t="s">
        <v>884</v>
      </c>
      <c r="B656" t="s">
        <v>3438</v>
      </c>
      <c r="C656" t="s">
        <v>2578</v>
      </c>
      <c r="D656" t="s">
        <v>2610</v>
      </c>
      <c r="E656" t="s">
        <v>3439</v>
      </c>
      <c r="F656" t="s">
        <v>2760</v>
      </c>
      <c r="G656" t="s">
        <v>161</v>
      </c>
      <c r="H656" t="s">
        <v>2603</v>
      </c>
      <c r="I656" t="s">
        <v>2603</v>
      </c>
      <c r="J656" t="s">
        <v>2741</v>
      </c>
      <c r="M656" t="s">
        <v>161</v>
      </c>
      <c r="N656" s="54">
        <v>45663.683136574073</v>
      </c>
      <c r="O656" s="54"/>
      <c r="P656" s="54"/>
      <c r="Q656" t="s">
        <v>2613</v>
      </c>
      <c r="R656" t="s">
        <v>161</v>
      </c>
    </row>
    <row r="657" spans="1:18" x14ac:dyDescent="0.3">
      <c r="A657" t="s">
        <v>884</v>
      </c>
      <c r="B657" t="s">
        <v>3438</v>
      </c>
      <c r="C657" t="s">
        <v>2578</v>
      </c>
      <c r="D657" t="s">
        <v>2610</v>
      </c>
      <c r="E657" t="s">
        <v>3440</v>
      </c>
      <c r="F657" t="s">
        <v>2760</v>
      </c>
      <c r="G657" t="s">
        <v>161</v>
      </c>
      <c r="H657" t="s">
        <v>2603</v>
      </c>
      <c r="I657" t="s">
        <v>2603</v>
      </c>
      <c r="J657" t="s">
        <v>2741</v>
      </c>
      <c r="M657" t="s">
        <v>161</v>
      </c>
      <c r="N657" s="54">
        <v>45638.986562500002</v>
      </c>
      <c r="O657" s="54"/>
      <c r="P657" s="54"/>
      <c r="Q657" t="s">
        <v>2613</v>
      </c>
      <c r="R657" t="s">
        <v>161</v>
      </c>
    </row>
    <row r="658" spans="1:18" x14ac:dyDescent="0.3">
      <c r="A658" t="s">
        <v>884</v>
      </c>
      <c r="B658" t="s">
        <v>3438</v>
      </c>
      <c r="C658" t="s">
        <v>2578</v>
      </c>
      <c r="D658" t="s">
        <v>2610</v>
      </c>
      <c r="E658" t="s">
        <v>3441</v>
      </c>
      <c r="F658" t="s">
        <v>2760</v>
      </c>
      <c r="G658" t="s">
        <v>161</v>
      </c>
      <c r="H658" t="s">
        <v>2603</v>
      </c>
      <c r="I658" t="s">
        <v>2603</v>
      </c>
      <c r="J658" t="s">
        <v>2741</v>
      </c>
      <c r="M658" t="s">
        <v>161</v>
      </c>
      <c r="N658" s="54">
        <v>45010.818877314814</v>
      </c>
      <c r="O658" s="54"/>
      <c r="P658" s="54"/>
      <c r="Q658" t="s">
        <v>2613</v>
      </c>
      <c r="R658" t="s">
        <v>161</v>
      </c>
    </row>
    <row r="659" spans="1:18" x14ac:dyDescent="0.3">
      <c r="A659" t="s">
        <v>884</v>
      </c>
      <c r="B659" t="s">
        <v>3438</v>
      </c>
      <c r="C659" t="s">
        <v>2578</v>
      </c>
      <c r="D659" t="s">
        <v>2610</v>
      </c>
      <c r="E659" t="s">
        <v>3442</v>
      </c>
      <c r="F659" t="s">
        <v>2760</v>
      </c>
      <c r="G659" t="s">
        <v>161</v>
      </c>
      <c r="H659" t="s">
        <v>2603</v>
      </c>
      <c r="I659" t="s">
        <v>2603</v>
      </c>
      <c r="J659" t="s">
        <v>2741</v>
      </c>
      <c r="M659" t="s">
        <v>161</v>
      </c>
      <c r="N659" s="54">
        <v>45010.818969907406</v>
      </c>
      <c r="O659" s="54"/>
      <c r="P659" s="54"/>
      <c r="Q659" t="s">
        <v>2613</v>
      </c>
      <c r="R659" t="s">
        <v>161</v>
      </c>
    </row>
    <row r="660" spans="1:18" x14ac:dyDescent="0.3">
      <c r="A660" t="s">
        <v>884</v>
      </c>
      <c r="B660" t="s">
        <v>3443</v>
      </c>
      <c r="C660" t="s">
        <v>2578</v>
      </c>
      <c r="D660" t="s">
        <v>2610</v>
      </c>
      <c r="E660" t="s">
        <v>3444</v>
      </c>
      <c r="F660" t="s">
        <v>2590</v>
      </c>
      <c r="G660" t="s">
        <v>161</v>
      </c>
      <c r="H660" t="s">
        <v>2694</v>
      </c>
      <c r="I660" t="s">
        <v>2695</v>
      </c>
      <c r="J660" t="s">
        <v>2696</v>
      </c>
      <c r="M660" t="s">
        <v>161</v>
      </c>
      <c r="N660" s="54">
        <v>45692.6950462963</v>
      </c>
      <c r="O660" s="54"/>
      <c r="P660" s="54"/>
      <c r="Q660" t="s">
        <v>2613</v>
      </c>
      <c r="R660" t="s">
        <v>161</v>
      </c>
    </row>
    <row r="661" spans="1:18" x14ac:dyDescent="0.3">
      <c r="A661" t="s">
        <v>884</v>
      </c>
      <c r="B661" t="s">
        <v>3443</v>
      </c>
      <c r="C661" t="s">
        <v>2578</v>
      </c>
      <c r="D661" t="s">
        <v>2610</v>
      </c>
      <c r="E661" t="s">
        <v>3445</v>
      </c>
      <c r="F661" t="s">
        <v>2590</v>
      </c>
      <c r="G661" t="s">
        <v>161</v>
      </c>
      <c r="H661" t="s">
        <v>2694</v>
      </c>
      <c r="I661" t="s">
        <v>2695</v>
      </c>
      <c r="J661" t="s">
        <v>2696</v>
      </c>
      <c r="M661" t="s">
        <v>161</v>
      </c>
      <c r="N661" s="54">
        <v>45692.695370370369</v>
      </c>
      <c r="O661" s="54"/>
      <c r="P661" s="54"/>
      <c r="Q661" t="s">
        <v>2613</v>
      </c>
      <c r="R661" t="s">
        <v>161</v>
      </c>
    </row>
    <row r="662" spans="1:18" x14ac:dyDescent="0.3">
      <c r="A662" t="s">
        <v>884</v>
      </c>
      <c r="B662" t="s">
        <v>3443</v>
      </c>
      <c r="C662" t="s">
        <v>2578</v>
      </c>
      <c r="D662" t="s">
        <v>2610</v>
      </c>
      <c r="E662" t="s">
        <v>3446</v>
      </c>
      <c r="F662" t="s">
        <v>2590</v>
      </c>
      <c r="G662" t="s">
        <v>161</v>
      </c>
      <c r="H662" t="s">
        <v>2694</v>
      </c>
      <c r="I662" t="s">
        <v>2695</v>
      </c>
      <c r="J662" t="s">
        <v>2696</v>
      </c>
      <c r="M662" t="s">
        <v>161</v>
      </c>
      <c r="N662" s="54">
        <v>45015</v>
      </c>
      <c r="O662" s="54"/>
      <c r="P662" s="54"/>
      <c r="Q662" t="s">
        <v>2613</v>
      </c>
      <c r="R662" t="s">
        <v>161</v>
      </c>
    </row>
    <row r="663" spans="1:18" x14ac:dyDescent="0.3">
      <c r="A663" t="s">
        <v>884</v>
      </c>
      <c r="B663" t="s">
        <v>3443</v>
      </c>
      <c r="C663" t="s">
        <v>2578</v>
      </c>
      <c r="D663" t="s">
        <v>2610</v>
      </c>
      <c r="E663" t="s">
        <v>3447</v>
      </c>
      <c r="F663" t="s">
        <v>2590</v>
      </c>
      <c r="G663" t="s">
        <v>161</v>
      </c>
      <c r="H663" t="s">
        <v>2694</v>
      </c>
      <c r="I663" t="s">
        <v>2695</v>
      </c>
      <c r="J663" t="s">
        <v>2696</v>
      </c>
      <c r="M663" t="s">
        <v>161</v>
      </c>
      <c r="N663" s="54">
        <v>45015</v>
      </c>
      <c r="O663" s="54"/>
      <c r="P663" s="54"/>
      <c r="Q663" t="s">
        <v>2613</v>
      </c>
      <c r="R663" t="s">
        <v>161</v>
      </c>
    </row>
    <row r="664" spans="1:18" x14ac:dyDescent="0.3">
      <c r="A664" t="s">
        <v>884</v>
      </c>
      <c r="B664" t="s">
        <v>3443</v>
      </c>
      <c r="C664" t="s">
        <v>2578</v>
      </c>
      <c r="D664" t="s">
        <v>2610</v>
      </c>
      <c r="E664" t="s">
        <v>3448</v>
      </c>
      <c r="F664" t="s">
        <v>2590</v>
      </c>
      <c r="G664" t="s">
        <v>161</v>
      </c>
      <c r="H664" t="s">
        <v>2694</v>
      </c>
      <c r="I664" t="s">
        <v>2695</v>
      </c>
      <c r="J664" t="s">
        <v>2696</v>
      </c>
      <c r="M664" t="s">
        <v>161</v>
      </c>
      <c r="N664" s="54">
        <v>45834.425636574073</v>
      </c>
      <c r="O664" s="54"/>
      <c r="P664" s="54"/>
      <c r="Q664" t="s">
        <v>2613</v>
      </c>
      <c r="R664" t="s">
        <v>161</v>
      </c>
    </row>
    <row r="665" spans="1:18" x14ac:dyDescent="0.3">
      <c r="A665" t="s">
        <v>884</v>
      </c>
      <c r="B665" t="s">
        <v>3443</v>
      </c>
      <c r="C665" t="s">
        <v>2578</v>
      </c>
      <c r="D665" t="s">
        <v>2610</v>
      </c>
      <c r="E665" t="s">
        <v>3449</v>
      </c>
      <c r="F665" t="s">
        <v>2590</v>
      </c>
      <c r="G665" t="s">
        <v>161</v>
      </c>
      <c r="H665" t="s">
        <v>2694</v>
      </c>
      <c r="I665" t="s">
        <v>2695</v>
      </c>
      <c r="J665" t="s">
        <v>2696</v>
      </c>
      <c r="M665" t="s">
        <v>161</v>
      </c>
      <c r="N665" s="54">
        <v>45834.425763888888</v>
      </c>
      <c r="O665" s="54"/>
      <c r="P665" s="54"/>
      <c r="Q665" t="s">
        <v>2613</v>
      </c>
      <c r="R665" t="s">
        <v>161</v>
      </c>
    </row>
    <row r="666" spans="1:18" x14ac:dyDescent="0.3">
      <c r="A666" t="s">
        <v>884</v>
      </c>
      <c r="B666" t="s">
        <v>3443</v>
      </c>
      <c r="C666" t="s">
        <v>2578</v>
      </c>
      <c r="D666" t="s">
        <v>2610</v>
      </c>
      <c r="E666" t="s">
        <v>3450</v>
      </c>
      <c r="F666" t="s">
        <v>2590</v>
      </c>
      <c r="G666" t="s">
        <v>161</v>
      </c>
      <c r="H666" t="s">
        <v>2694</v>
      </c>
      <c r="I666" t="s">
        <v>2695</v>
      </c>
      <c r="J666" t="s">
        <v>2696</v>
      </c>
      <c r="M666" t="s">
        <v>161</v>
      </c>
      <c r="N666" s="54">
        <v>45392.275439814817</v>
      </c>
      <c r="O666" s="54"/>
      <c r="P666" s="54"/>
      <c r="Q666" t="s">
        <v>2613</v>
      </c>
      <c r="R666" t="s">
        <v>161</v>
      </c>
    </row>
    <row r="667" spans="1:18" x14ac:dyDescent="0.3">
      <c r="A667" t="s">
        <v>884</v>
      </c>
      <c r="B667" t="s">
        <v>3443</v>
      </c>
      <c r="C667" t="s">
        <v>2578</v>
      </c>
      <c r="D667" t="s">
        <v>2610</v>
      </c>
      <c r="E667" t="s">
        <v>3451</v>
      </c>
      <c r="F667" t="s">
        <v>2590</v>
      </c>
      <c r="G667" t="s">
        <v>161</v>
      </c>
      <c r="H667" t="s">
        <v>2694</v>
      </c>
      <c r="I667" t="s">
        <v>2695</v>
      </c>
      <c r="J667" t="s">
        <v>2696</v>
      </c>
      <c r="M667" t="s">
        <v>161</v>
      </c>
      <c r="N667" s="54">
        <v>45015</v>
      </c>
      <c r="O667" s="54"/>
      <c r="P667" s="54"/>
      <c r="Q667" t="s">
        <v>2613</v>
      </c>
      <c r="R667" t="s">
        <v>161</v>
      </c>
    </row>
    <row r="668" spans="1:18" x14ac:dyDescent="0.3">
      <c r="A668" t="s">
        <v>884</v>
      </c>
      <c r="B668" t="s">
        <v>3443</v>
      </c>
      <c r="C668" t="s">
        <v>2578</v>
      </c>
      <c r="D668" t="s">
        <v>2610</v>
      </c>
      <c r="E668" t="s">
        <v>3452</v>
      </c>
      <c r="F668" t="s">
        <v>2590</v>
      </c>
      <c r="G668" t="s">
        <v>161</v>
      </c>
      <c r="H668" t="s">
        <v>2703</v>
      </c>
      <c r="I668" t="s">
        <v>2704</v>
      </c>
      <c r="J668" t="s">
        <v>2705</v>
      </c>
      <c r="M668" t="s">
        <v>161</v>
      </c>
      <c r="N668" s="54">
        <v>45015.692743055559</v>
      </c>
      <c r="O668" s="54"/>
      <c r="P668" s="54"/>
      <c r="Q668" t="s">
        <v>2613</v>
      </c>
      <c r="R668" t="s">
        <v>161</v>
      </c>
    </row>
    <row r="669" spans="1:18" x14ac:dyDescent="0.3">
      <c r="A669" t="s">
        <v>884</v>
      </c>
      <c r="B669" t="s">
        <v>3443</v>
      </c>
      <c r="C669" t="s">
        <v>2578</v>
      </c>
      <c r="D669" t="s">
        <v>2610</v>
      </c>
      <c r="E669" t="s">
        <v>3453</v>
      </c>
      <c r="F669" t="s">
        <v>2590</v>
      </c>
      <c r="G669" t="s">
        <v>161</v>
      </c>
      <c r="H669" t="s">
        <v>2703</v>
      </c>
      <c r="I669" t="s">
        <v>2704</v>
      </c>
      <c r="J669" t="s">
        <v>2705</v>
      </c>
      <c r="M669" t="s">
        <v>161</v>
      </c>
      <c r="N669" s="54">
        <v>45852.667650462965</v>
      </c>
      <c r="O669" s="54"/>
      <c r="P669" s="54"/>
      <c r="Q669" t="s">
        <v>2613</v>
      </c>
      <c r="R669" t="s">
        <v>161</v>
      </c>
    </row>
    <row r="670" spans="1:18" x14ac:dyDescent="0.3">
      <c r="A670" t="s">
        <v>884</v>
      </c>
      <c r="B670" t="s">
        <v>3443</v>
      </c>
      <c r="C670" t="s">
        <v>2578</v>
      </c>
      <c r="D670" t="s">
        <v>2610</v>
      </c>
      <c r="E670" t="s">
        <v>3454</v>
      </c>
      <c r="F670" t="s">
        <v>2590</v>
      </c>
      <c r="G670" t="s">
        <v>161</v>
      </c>
      <c r="H670" t="s">
        <v>2703</v>
      </c>
      <c r="I670" t="s">
        <v>2704</v>
      </c>
      <c r="J670" t="s">
        <v>2705</v>
      </c>
      <c r="M670" t="s">
        <v>161</v>
      </c>
      <c r="N670" s="54">
        <v>45015</v>
      </c>
      <c r="O670" s="54"/>
      <c r="P670" s="54"/>
      <c r="Q670" t="s">
        <v>2613</v>
      </c>
      <c r="R670" t="s">
        <v>161</v>
      </c>
    </row>
    <row r="671" spans="1:18" x14ac:dyDescent="0.3">
      <c r="A671" t="s">
        <v>884</v>
      </c>
      <c r="B671" t="s">
        <v>3443</v>
      </c>
      <c r="C671" t="s">
        <v>2578</v>
      </c>
      <c r="D671" t="s">
        <v>2610</v>
      </c>
      <c r="E671" t="s">
        <v>3455</v>
      </c>
      <c r="F671" t="s">
        <v>2590</v>
      </c>
      <c r="G671" t="s">
        <v>161</v>
      </c>
      <c r="H671" t="s">
        <v>2703</v>
      </c>
      <c r="I671" t="s">
        <v>2704</v>
      </c>
      <c r="J671" t="s">
        <v>2705</v>
      </c>
      <c r="M671" t="s">
        <v>161</v>
      </c>
      <c r="N671" s="54">
        <v>45015</v>
      </c>
      <c r="O671" s="54"/>
      <c r="P671" s="54"/>
      <c r="Q671" t="s">
        <v>2613</v>
      </c>
      <c r="R671" t="s">
        <v>161</v>
      </c>
    </row>
    <row r="672" spans="1:18" x14ac:dyDescent="0.3">
      <c r="A672" t="s">
        <v>884</v>
      </c>
      <c r="B672" t="s">
        <v>3443</v>
      </c>
      <c r="C672" t="s">
        <v>2578</v>
      </c>
      <c r="D672" t="s">
        <v>2610</v>
      </c>
      <c r="E672" t="s">
        <v>3456</v>
      </c>
      <c r="F672" t="s">
        <v>2590</v>
      </c>
      <c r="G672" t="s">
        <v>161</v>
      </c>
      <c r="H672" t="s">
        <v>2703</v>
      </c>
      <c r="I672" t="s">
        <v>2704</v>
      </c>
      <c r="J672" t="s">
        <v>2705</v>
      </c>
      <c r="M672" t="s">
        <v>161</v>
      </c>
      <c r="N672" s="54">
        <v>45015</v>
      </c>
      <c r="O672" s="54"/>
      <c r="P672" s="54"/>
      <c r="Q672" t="s">
        <v>2613</v>
      </c>
      <c r="R672" t="s">
        <v>161</v>
      </c>
    </row>
    <row r="673" spans="1:18" x14ac:dyDescent="0.3">
      <c r="A673" t="s">
        <v>884</v>
      </c>
      <c r="B673" t="s">
        <v>3443</v>
      </c>
      <c r="C673" t="s">
        <v>2578</v>
      </c>
      <c r="D673" t="s">
        <v>2610</v>
      </c>
      <c r="E673" t="s">
        <v>3457</v>
      </c>
      <c r="F673" t="s">
        <v>2590</v>
      </c>
      <c r="G673" t="s">
        <v>161</v>
      </c>
      <c r="H673" t="s">
        <v>2703</v>
      </c>
      <c r="I673" t="s">
        <v>2704</v>
      </c>
      <c r="J673" t="s">
        <v>2705</v>
      </c>
      <c r="M673" t="s">
        <v>161</v>
      </c>
      <c r="N673" s="54">
        <v>45363.653784722221</v>
      </c>
      <c r="O673" s="54"/>
      <c r="P673" s="54"/>
      <c r="Q673" t="s">
        <v>2613</v>
      </c>
      <c r="R673" t="s">
        <v>161</v>
      </c>
    </row>
    <row r="674" spans="1:18" x14ac:dyDescent="0.3">
      <c r="A674" t="s">
        <v>884</v>
      </c>
      <c r="B674" t="s">
        <v>3443</v>
      </c>
      <c r="C674" t="s">
        <v>2578</v>
      </c>
      <c r="D674" t="s">
        <v>2610</v>
      </c>
      <c r="E674" t="s">
        <v>3458</v>
      </c>
      <c r="F674" t="s">
        <v>2590</v>
      </c>
      <c r="G674" t="s">
        <v>161</v>
      </c>
      <c r="H674" t="s">
        <v>2703</v>
      </c>
      <c r="I674" t="s">
        <v>2704</v>
      </c>
      <c r="J674" t="s">
        <v>2705</v>
      </c>
      <c r="M674" t="s">
        <v>161</v>
      </c>
      <c r="N674" s="54">
        <v>45015</v>
      </c>
      <c r="O674" s="54"/>
      <c r="P674" s="54"/>
      <c r="Q674" t="s">
        <v>2613</v>
      </c>
      <c r="R674" t="s">
        <v>161</v>
      </c>
    </row>
    <row r="675" spans="1:18" x14ac:dyDescent="0.3">
      <c r="A675" t="s">
        <v>884</v>
      </c>
      <c r="B675" t="s">
        <v>3443</v>
      </c>
      <c r="C675" t="s">
        <v>2578</v>
      </c>
      <c r="D675" t="s">
        <v>2610</v>
      </c>
      <c r="E675" t="s">
        <v>3459</v>
      </c>
      <c r="F675" t="s">
        <v>2590</v>
      </c>
      <c r="G675" t="s">
        <v>161</v>
      </c>
      <c r="H675" t="s">
        <v>2703</v>
      </c>
      <c r="I675" t="s">
        <v>2704</v>
      </c>
      <c r="J675" t="s">
        <v>2705</v>
      </c>
      <c r="M675" t="s">
        <v>161</v>
      </c>
      <c r="N675" s="54">
        <v>45015</v>
      </c>
      <c r="O675" s="54"/>
      <c r="P675" s="54"/>
      <c r="Q675" t="s">
        <v>2613</v>
      </c>
      <c r="R675" t="s">
        <v>161</v>
      </c>
    </row>
    <row r="676" spans="1:18" x14ac:dyDescent="0.3">
      <c r="A676" t="s">
        <v>884</v>
      </c>
      <c r="B676" t="s">
        <v>3443</v>
      </c>
      <c r="C676" t="s">
        <v>2578</v>
      </c>
      <c r="D676" t="s">
        <v>2610</v>
      </c>
      <c r="E676" t="s">
        <v>3460</v>
      </c>
      <c r="F676" t="s">
        <v>2590</v>
      </c>
      <c r="G676" t="s">
        <v>161</v>
      </c>
      <c r="H676" t="s">
        <v>2703</v>
      </c>
      <c r="I676" t="s">
        <v>2704</v>
      </c>
      <c r="J676" t="s">
        <v>2705</v>
      </c>
      <c r="M676" t="s">
        <v>161</v>
      </c>
      <c r="N676" s="54">
        <v>45015.687534722223</v>
      </c>
      <c r="O676" s="54"/>
      <c r="P676" s="54"/>
      <c r="Q676" t="s">
        <v>2613</v>
      </c>
      <c r="R676" t="s">
        <v>161</v>
      </c>
    </row>
    <row r="677" spans="1:18" x14ac:dyDescent="0.3">
      <c r="A677" t="s">
        <v>884</v>
      </c>
      <c r="B677" t="s">
        <v>3443</v>
      </c>
      <c r="C677" t="s">
        <v>2578</v>
      </c>
      <c r="D677" t="s">
        <v>2610</v>
      </c>
      <c r="E677" t="s">
        <v>3461</v>
      </c>
      <c r="F677" t="s">
        <v>2590</v>
      </c>
      <c r="G677" t="s">
        <v>161</v>
      </c>
      <c r="H677" t="s">
        <v>2703</v>
      </c>
      <c r="I677" t="s">
        <v>2704</v>
      </c>
      <c r="J677" t="s">
        <v>2705</v>
      </c>
      <c r="M677" t="s">
        <v>161</v>
      </c>
      <c r="N677" s="54">
        <v>45015.687743055554</v>
      </c>
      <c r="O677" s="54"/>
      <c r="P677" s="54"/>
      <c r="Q677" t="s">
        <v>2613</v>
      </c>
      <c r="R677" t="s">
        <v>161</v>
      </c>
    </row>
    <row r="678" spans="1:18" x14ac:dyDescent="0.3">
      <c r="A678" t="s">
        <v>884</v>
      </c>
      <c r="B678" t="s">
        <v>3443</v>
      </c>
      <c r="C678" t="s">
        <v>2578</v>
      </c>
      <c r="D678" t="s">
        <v>2610</v>
      </c>
      <c r="E678" t="s">
        <v>3462</v>
      </c>
      <c r="F678" t="s">
        <v>2590</v>
      </c>
      <c r="G678" t="s">
        <v>161</v>
      </c>
      <c r="H678" t="s">
        <v>2703</v>
      </c>
      <c r="I678" t="s">
        <v>2704</v>
      </c>
      <c r="J678" t="s">
        <v>2705</v>
      </c>
      <c r="M678" t="s">
        <v>161</v>
      </c>
      <c r="N678" s="54">
        <v>45015</v>
      </c>
      <c r="O678" s="54"/>
      <c r="P678" s="54"/>
      <c r="Q678" t="s">
        <v>2613</v>
      </c>
      <c r="R678" t="s">
        <v>161</v>
      </c>
    </row>
    <row r="679" spans="1:18" x14ac:dyDescent="0.3">
      <c r="A679" t="s">
        <v>884</v>
      </c>
      <c r="B679" t="s">
        <v>3443</v>
      </c>
      <c r="C679" t="s">
        <v>2578</v>
      </c>
      <c r="D679" t="s">
        <v>2610</v>
      </c>
      <c r="E679" t="s">
        <v>3463</v>
      </c>
      <c r="F679" t="s">
        <v>2590</v>
      </c>
      <c r="G679" t="s">
        <v>161</v>
      </c>
      <c r="H679" t="s">
        <v>2703</v>
      </c>
      <c r="I679" t="s">
        <v>2704</v>
      </c>
      <c r="J679" t="s">
        <v>2705</v>
      </c>
      <c r="M679" t="s">
        <v>161</v>
      </c>
      <c r="N679" s="54">
        <v>45610.605740740742</v>
      </c>
      <c r="O679" s="54"/>
      <c r="P679" s="54"/>
      <c r="Q679" t="s">
        <v>2613</v>
      </c>
      <c r="R679" t="s">
        <v>161</v>
      </c>
    </row>
    <row r="680" spans="1:18" x14ac:dyDescent="0.3">
      <c r="A680" t="s">
        <v>884</v>
      </c>
      <c r="B680" t="s">
        <v>3464</v>
      </c>
      <c r="C680" t="s">
        <v>2578</v>
      </c>
      <c r="D680" t="s">
        <v>2610</v>
      </c>
      <c r="E680" t="s">
        <v>3465</v>
      </c>
      <c r="F680" t="s">
        <v>2590</v>
      </c>
      <c r="G680" t="s">
        <v>161</v>
      </c>
      <c r="H680" t="s">
        <v>2591</v>
      </c>
      <c r="I680" t="s">
        <v>2689</v>
      </c>
      <c r="J680" t="s">
        <v>2690</v>
      </c>
      <c r="M680" t="s">
        <v>161</v>
      </c>
      <c r="N680" s="54">
        <v>45015</v>
      </c>
      <c r="O680" s="54"/>
      <c r="P680" s="54"/>
      <c r="Q680" t="s">
        <v>2613</v>
      </c>
      <c r="R680" t="s">
        <v>161</v>
      </c>
    </row>
    <row r="681" spans="1:18" x14ac:dyDescent="0.3">
      <c r="A681" t="s">
        <v>884</v>
      </c>
      <c r="B681" t="s">
        <v>3464</v>
      </c>
      <c r="C681" t="s">
        <v>2578</v>
      </c>
      <c r="D681" t="s">
        <v>2610</v>
      </c>
      <c r="E681" t="s">
        <v>3466</v>
      </c>
      <c r="F681" t="s">
        <v>2590</v>
      </c>
      <c r="G681" t="s">
        <v>161</v>
      </c>
      <c r="H681" t="s">
        <v>2591</v>
      </c>
      <c r="I681" t="s">
        <v>2689</v>
      </c>
      <c r="J681" t="s">
        <v>2690</v>
      </c>
      <c r="M681" t="s">
        <v>161</v>
      </c>
      <c r="N681" s="54">
        <v>45015</v>
      </c>
      <c r="O681" s="54"/>
      <c r="P681" s="54"/>
      <c r="Q681" t="s">
        <v>2613</v>
      </c>
      <c r="R681" t="s">
        <v>161</v>
      </c>
    </row>
    <row r="682" spans="1:18" x14ac:dyDescent="0.3">
      <c r="A682" t="s">
        <v>884</v>
      </c>
      <c r="B682" t="s">
        <v>3467</v>
      </c>
      <c r="C682" t="s">
        <v>2578</v>
      </c>
      <c r="D682" t="s">
        <v>2610</v>
      </c>
      <c r="E682" t="s">
        <v>3468</v>
      </c>
      <c r="F682" t="s">
        <v>2590</v>
      </c>
      <c r="G682" t="s">
        <v>161</v>
      </c>
      <c r="H682" t="s">
        <v>2591</v>
      </c>
      <c r="I682" t="s">
        <v>2592</v>
      </c>
      <c r="J682" t="s">
        <v>2593</v>
      </c>
      <c r="M682" t="s">
        <v>161</v>
      </c>
      <c r="N682" s="54">
        <v>45010.721458333333</v>
      </c>
      <c r="O682" s="54"/>
      <c r="P682" s="54"/>
      <c r="Q682" t="s">
        <v>2613</v>
      </c>
      <c r="R682" t="s">
        <v>161</v>
      </c>
    </row>
    <row r="683" spans="1:18" x14ac:dyDescent="0.3">
      <c r="A683" t="s">
        <v>884</v>
      </c>
      <c r="B683" t="s">
        <v>3467</v>
      </c>
      <c r="C683" t="s">
        <v>2578</v>
      </c>
      <c r="D683" t="s">
        <v>2610</v>
      </c>
      <c r="E683" t="s">
        <v>3469</v>
      </c>
      <c r="F683" t="s">
        <v>2590</v>
      </c>
      <c r="G683" t="s">
        <v>161</v>
      </c>
      <c r="H683" t="s">
        <v>2591</v>
      </c>
      <c r="I683" t="s">
        <v>2592</v>
      </c>
      <c r="J683" t="s">
        <v>2593</v>
      </c>
      <c r="M683" t="s">
        <v>161</v>
      </c>
      <c r="N683" s="54">
        <v>45010.721620370372</v>
      </c>
      <c r="O683" s="54"/>
      <c r="P683" s="54"/>
      <c r="Q683" t="s">
        <v>2613</v>
      </c>
      <c r="R683" t="s">
        <v>161</v>
      </c>
    </row>
    <row r="684" spans="1:18" x14ac:dyDescent="0.3">
      <c r="A684" t="s">
        <v>884</v>
      </c>
      <c r="B684" t="s">
        <v>3470</v>
      </c>
      <c r="C684" t="s">
        <v>2578</v>
      </c>
      <c r="D684" t="s">
        <v>2610</v>
      </c>
      <c r="E684" t="s">
        <v>3471</v>
      </c>
      <c r="F684" t="s">
        <v>2590</v>
      </c>
      <c r="G684" t="s">
        <v>161</v>
      </c>
      <c r="H684" t="s">
        <v>2591</v>
      </c>
      <c r="I684" t="s">
        <v>2685</v>
      </c>
      <c r="J684" t="s">
        <v>2686</v>
      </c>
      <c r="M684" t="s">
        <v>161</v>
      </c>
      <c r="N684" s="54">
        <v>45010.698912037034</v>
      </c>
      <c r="O684" s="54"/>
      <c r="P684" s="54"/>
      <c r="Q684" t="s">
        <v>2613</v>
      </c>
      <c r="R684" t="s">
        <v>161</v>
      </c>
    </row>
    <row r="685" spans="1:18" x14ac:dyDescent="0.3">
      <c r="A685" t="s">
        <v>884</v>
      </c>
      <c r="B685" t="s">
        <v>3470</v>
      </c>
      <c r="C685" t="s">
        <v>2578</v>
      </c>
      <c r="D685" t="s">
        <v>2610</v>
      </c>
      <c r="E685" t="s">
        <v>3472</v>
      </c>
      <c r="F685" t="s">
        <v>2590</v>
      </c>
      <c r="G685" t="s">
        <v>161</v>
      </c>
      <c r="H685" t="s">
        <v>2591</v>
      </c>
      <c r="I685" t="s">
        <v>2685</v>
      </c>
      <c r="J685" t="s">
        <v>2686</v>
      </c>
      <c r="M685" t="s">
        <v>161</v>
      </c>
      <c r="N685" s="54">
        <v>45010.699166666665</v>
      </c>
      <c r="O685" s="54"/>
      <c r="P685" s="54"/>
      <c r="Q685" t="s">
        <v>2613</v>
      </c>
      <c r="R685" t="s">
        <v>161</v>
      </c>
    </row>
    <row r="686" spans="1:18" x14ac:dyDescent="0.3">
      <c r="A686" t="s">
        <v>884</v>
      </c>
      <c r="B686" t="s">
        <v>3473</v>
      </c>
      <c r="C686" t="s">
        <v>2578</v>
      </c>
      <c r="D686" t="s">
        <v>2610</v>
      </c>
      <c r="E686" t="s">
        <v>3474</v>
      </c>
      <c r="F686" t="s">
        <v>2590</v>
      </c>
      <c r="G686" t="s">
        <v>161</v>
      </c>
      <c r="H686" t="s">
        <v>2591</v>
      </c>
      <c r="I686" t="s">
        <v>2592</v>
      </c>
      <c r="J686" t="s">
        <v>2593</v>
      </c>
      <c r="M686" t="s">
        <v>161</v>
      </c>
      <c r="N686" s="54">
        <v>45015</v>
      </c>
      <c r="O686" s="54"/>
      <c r="P686" s="54"/>
      <c r="Q686" t="s">
        <v>2613</v>
      </c>
      <c r="R686" t="s">
        <v>161</v>
      </c>
    </row>
    <row r="687" spans="1:18" x14ac:dyDescent="0.3">
      <c r="A687" t="s">
        <v>884</v>
      </c>
      <c r="B687" t="s">
        <v>3473</v>
      </c>
      <c r="C687" t="s">
        <v>2578</v>
      </c>
      <c r="D687" t="s">
        <v>2610</v>
      </c>
      <c r="E687" t="s">
        <v>3475</v>
      </c>
      <c r="F687" t="s">
        <v>2590</v>
      </c>
      <c r="G687" t="s">
        <v>161</v>
      </c>
      <c r="H687" t="s">
        <v>2591</v>
      </c>
      <c r="I687" t="s">
        <v>2592</v>
      </c>
      <c r="J687" t="s">
        <v>2593</v>
      </c>
      <c r="M687" t="s">
        <v>161</v>
      </c>
      <c r="N687" s="54">
        <v>45572.628923611112</v>
      </c>
      <c r="O687" s="54"/>
      <c r="P687" s="54"/>
      <c r="Q687" t="s">
        <v>2613</v>
      </c>
      <c r="R687" t="s">
        <v>161</v>
      </c>
    </row>
    <row r="688" spans="1:18" x14ac:dyDescent="0.3">
      <c r="A688" t="s">
        <v>884</v>
      </c>
      <c r="B688" t="s">
        <v>3473</v>
      </c>
      <c r="C688" t="s">
        <v>2578</v>
      </c>
      <c r="D688" t="s">
        <v>2610</v>
      </c>
      <c r="E688" t="s">
        <v>3476</v>
      </c>
      <c r="F688" t="s">
        <v>2590</v>
      </c>
      <c r="G688" t="s">
        <v>161</v>
      </c>
      <c r="H688" t="s">
        <v>2591</v>
      </c>
      <c r="I688" t="s">
        <v>2592</v>
      </c>
      <c r="J688" t="s">
        <v>2593</v>
      </c>
      <c r="M688" t="s">
        <v>161</v>
      </c>
      <c r="N688" s="54">
        <v>45015</v>
      </c>
      <c r="O688" s="54"/>
      <c r="P688" s="54"/>
      <c r="Q688" t="s">
        <v>2613</v>
      </c>
      <c r="R688" t="s">
        <v>161</v>
      </c>
    </row>
    <row r="689" spans="1:18" x14ac:dyDescent="0.3">
      <c r="A689" t="s">
        <v>884</v>
      </c>
      <c r="B689" t="s">
        <v>3473</v>
      </c>
      <c r="C689" t="s">
        <v>2578</v>
      </c>
      <c r="D689" t="s">
        <v>2610</v>
      </c>
      <c r="E689" t="s">
        <v>3477</v>
      </c>
      <c r="F689" t="s">
        <v>2590</v>
      </c>
      <c r="G689" t="s">
        <v>161</v>
      </c>
      <c r="H689" t="s">
        <v>2591</v>
      </c>
      <c r="I689" t="s">
        <v>2592</v>
      </c>
      <c r="J689" t="s">
        <v>2593</v>
      </c>
      <c r="M689" t="s">
        <v>161</v>
      </c>
      <c r="N689" s="54">
        <v>45015</v>
      </c>
      <c r="O689" s="54"/>
      <c r="P689" s="54"/>
      <c r="Q689" t="s">
        <v>2613</v>
      </c>
      <c r="R689" t="s">
        <v>161</v>
      </c>
    </row>
    <row r="690" spans="1:18" x14ac:dyDescent="0.3">
      <c r="A690" t="s">
        <v>884</v>
      </c>
      <c r="B690" t="s">
        <v>3473</v>
      </c>
      <c r="C690" t="s">
        <v>2578</v>
      </c>
      <c r="D690" t="s">
        <v>2610</v>
      </c>
      <c r="E690" t="s">
        <v>3478</v>
      </c>
      <c r="F690" t="s">
        <v>2590</v>
      </c>
      <c r="G690" t="s">
        <v>161</v>
      </c>
      <c r="H690" t="s">
        <v>2591</v>
      </c>
      <c r="I690" t="s">
        <v>2689</v>
      </c>
      <c r="J690" t="s">
        <v>2690</v>
      </c>
      <c r="M690" t="s">
        <v>161</v>
      </c>
      <c r="N690" s="54">
        <v>45015.735381944447</v>
      </c>
      <c r="O690" s="54"/>
      <c r="P690" s="54"/>
      <c r="Q690" t="s">
        <v>2613</v>
      </c>
      <c r="R690" t="s">
        <v>161</v>
      </c>
    </row>
    <row r="691" spans="1:18" x14ac:dyDescent="0.3">
      <c r="A691" t="s">
        <v>884</v>
      </c>
      <c r="B691" t="s">
        <v>3473</v>
      </c>
      <c r="C691" t="s">
        <v>2578</v>
      </c>
      <c r="D691" t="s">
        <v>2610</v>
      </c>
      <c r="E691" t="s">
        <v>3479</v>
      </c>
      <c r="F691" t="s">
        <v>2590</v>
      </c>
      <c r="G691" t="s">
        <v>161</v>
      </c>
      <c r="H691" t="s">
        <v>2591</v>
      </c>
      <c r="I691" t="s">
        <v>2689</v>
      </c>
      <c r="J691" t="s">
        <v>2690</v>
      </c>
      <c r="M691" t="s">
        <v>161</v>
      </c>
      <c r="N691" s="54">
        <v>45015.735601851855</v>
      </c>
      <c r="O691" s="54"/>
      <c r="P691" s="54"/>
      <c r="Q691" t="s">
        <v>2613</v>
      </c>
      <c r="R691" t="s">
        <v>161</v>
      </c>
    </row>
    <row r="692" spans="1:18" x14ac:dyDescent="0.3">
      <c r="A692" t="s">
        <v>884</v>
      </c>
      <c r="B692" t="s">
        <v>3473</v>
      </c>
      <c r="C692" t="s">
        <v>2578</v>
      </c>
      <c r="D692" t="s">
        <v>2610</v>
      </c>
      <c r="E692" t="s">
        <v>3480</v>
      </c>
      <c r="F692" t="s">
        <v>2590</v>
      </c>
      <c r="G692" t="s">
        <v>161</v>
      </c>
      <c r="H692" t="s">
        <v>2591</v>
      </c>
      <c r="I692" t="s">
        <v>2689</v>
      </c>
      <c r="J692" t="s">
        <v>2690</v>
      </c>
      <c r="M692" t="s">
        <v>161</v>
      </c>
      <c r="N692" s="54">
        <v>45138.337951388887</v>
      </c>
      <c r="O692" s="54"/>
      <c r="P692" s="54"/>
      <c r="Q692" t="s">
        <v>2613</v>
      </c>
      <c r="R692" t="s">
        <v>161</v>
      </c>
    </row>
    <row r="693" spans="1:18" x14ac:dyDescent="0.3">
      <c r="A693" t="s">
        <v>884</v>
      </c>
      <c r="B693" t="s">
        <v>3473</v>
      </c>
      <c r="C693" t="s">
        <v>2578</v>
      </c>
      <c r="D693" t="s">
        <v>2610</v>
      </c>
      <c r="E693" t="s">
        <v>3481</v>
      </c>
      <c r="F693" t="s">
        <v>2590</v>
      </c>
      <c r="G693" t="s">
        <v>161</v>
      </c>
      <c r="H693" t="s">
        <v>2591</v>
      </c>
      <c r="I693" t="s">
        <v>2689</v>
      </c>
      <c r="J693" t="s">
        <v>2690</v>
      </c>
      <c r="M693" t="s">
        <v>161</v>
      </c>
      <c r="N693" s="54">
        <v>45138.338738425926</v>
      </c>
      <c r="O693" s="54"/>
      <c r="P693" s="54"/>
      <c r="Q693" t="s">
        <v>2613</v>
      </c>
      <c r="R693" t="s">
        <v>161</v>
      </c>
    </row>
    <row r="694" spans="1:18" x14ac:dyDescent="0.3">
      <c r="A694" t="s">
        <v>884</v>
      </c>
      <c r="B694" t="s">
        <v>3473</v>
      </c>
      <c r="C694" t="s">
        <v>2578</v>
      </c>
      <c r="D694" t="s">
        <v>2610</v>
      </c>
      <c r="E694" t="s">
        <v>3482</v>
      </c>
      <c r="F694" t="s">
        <v>2590</v>
      </c>
      <c r="G694" t="s">
        <v>161</v>
      </c>
      <c r="H694" t="s">
        <v>2591</v>
      </c>
      <c r="I694" t="s">
        <v>2689</v>
      </c>
      <c r="J694" t="s">
        <v>2690</v>
      </c>
      <c r="M694" t="s">
        <v>161</v>
      </c>
      <c r="N694" s="54">
        <v>45379.726006944446</v>
      </c>
      <c r="O694" s="54"/>
      <c r="P694" s="54"/>
      <c r="Q694" t="s">
        <v>2613</v>
      </c>
      <c r="R694" t="s">
        <v>161</v>
      </c>
    </row>
    <row r="695" spans="1:18" x14ac:dyDescent="0.3">
      <c r="A695" t="s">
        <v>884</v>
      </c>
      <c r="B695" t="s">
        <v>3473</v>
      </c>
      <c r="C695" t="s">
        <v>2578</v>
      </c>
      <c r="D695" t="s">
        <v>2610</v>
      </c>
      <c r="E695" t="s">
        <v>3483</v>
      </c>
      <c r="F695" t="s">
        <v>2590</v>
      </c>
      <c r="G695" t="s">
        <v>161</v>
      </c>
      <c r="H695" t="s">
        <v>2591</v>
      </c>
      <c r="I695" t="s">
        <v>2689</v>
      </c>
      <c r="J695" t="s">
        <v>2690</v>
      </c>
      <c r="M695" t="s">
        <v>161</v>
      </c>
      <c r="N695" s="54">
        <v>45015.736145833333</v>
      </c>
      <c r="O695" s="54"/>
      <c r="P695" s="54"/>
      <c r="Q695" t="s">
        <v>2613</v>
      </c>
      <c r="R695" t="s">
        <v>161</v>
      </c>
    </row>
    <row r="696" spans="1:18" x14ac:dyDescent="0.3">
      <c r="A696" t="s">
        <v>884</v>
      </c>
      <c r="B696" t="s">
        <v>3473</v>
      </c>
      <c r="C696" t="s">
        <v>2578</v>
      </c>
      <c r="D696" t="s">
        <v>2610</v>
      </c>
      <c r="E696" t="s">
        <v>3484</v>
      </c>
      <c r="F696" t="s">
        <v>2590</v>
      </c>
      <c r="G696" t="s">
        <v>161</v>
      </c>
      <c r="H696" t="s">
        <v>2591</v>
      </c>
      <c r="I696" t="s">
        <v>2689</v>
      </c>
      <c r="J696" t="s">
        <v>2690</v>
      </c>
      <c r="M696" t="s">
        <v>161</v>
      </c>
      <c r="N696" s="54">
        <v>45350.320636574077</v>
      </c>
      <c r="O696" s="54"/>
      <c r="P696" s="54"/>
      <c r="Q696" t="s">
        <v>2613</v>
      </c>
      <c r="R696" t="s">
        <v>161</v>
      </c>
    </row>
    <row r="697" spans="1:18" x14ac:dyDescent="0.3">
      <c r="A697" t="s">
        <v>884</v>
      </c>
      <c r="B697" t="s">
        <v>3473</v>
      </c>
      <c r="C697" t="s">
        <v>2578</v>
      </c>
      <c r="D697" t="s">
        <v>2610</v>
      </c>
      <c r="E697" t="s">
        <v>3485</v>
      </c>
      <c r="F697" t="s">
        <v>2590</v>
      </c>
      <c r="G697" t="s">
        <v>161</v>
      </c>
      <c r="H697" t="s">
        <v>2591</v>
      </c>
      <c r="I697" t="s">
        <v>2689</v>
      </c>
      <c r="J697" t="s">
        <v>2690</v>
      </c>
      <c r="M697" t="s">
        <v>161</v>
      </c>
      <c r="N697" s="54">
        <v>45156.506990740738</v>
      </c>
      <c r="O697" s="54"/>
      <c r="P697" s="54"/>
      <c r="Q697" t="s">
        <v>2613</v>
      </c>
      <c r="R697" t="s">
        <v>161</v>
      </c>
    </row>
    <row r="698" spans="1:18" x14ac:dyDescent="0.3">
      <c r="A698" t="s">
        <v>884</v>
      </c>
      <c r="B698" t="s">
        <v>3486</v>
      </c>
      <c r="C698" t="s">
        <v>2578</v>
      </c>
      <c r="D698" t="s">
        <v>2610</v>
      </c>
      <c r="E698" t="s">
        <v>3487</v>
      </c>
      <c r="F698" t="s">
        <v>2590</v>
      </c>
      <c r="G698" t="s">
        <v>161</v>
      </c>
      <c r="H698" t="s">
        <v>2591</v>
      </c>
      <c r="I698" t="s">
        <v>2689</v>
      </c>
      <c r="J698" t="s">
        <v>2690</v>
      </c>
      <c r="M698" t="s">
        <v>161</v>
      </c>
      <c r="N698" s="54">
        <v>45015.732708333337</v>
      </c>
      <c r="O698" s="54"/>
      <c r="P698" s="54"/>
      <c r="Q698" t="s">
        <v>2613</v>
      </c>
      <c r="R698" t="s">
        <v>161</v>
      </c>
    </row>
    <row r="699" spans="1:18" x14ac:dyDescent="0.3">
      <c r="A699" t="s">
        <v>884</v>
      </c>
      <c r="B699" t="s">
        <v>3486</v>
      </c>
      <c r="C699" t="s">
        <v>2578</v>
      </c>
      <c r="D699" t="s">
        <v>2610</v>
      </c>
      <c r="E699" t="s">
        <v>3488</v>
      </c>
      <c r="F699" t="s">
        <v>2590</v>
      </c>
      <c r="G699" t="s">
        <v>161</v>
      </c>
      <c r="H699" t="s">
        <v>2591</v>
      </c>
      <c r="I699" t="s">
        <v>2689</v>
      </c>
      <c r="J699" t="s">
        <v>2690</v>
      </c>
      <c r="M699" t="s">
        <v>161</v>
      </c>
      <c r="N699" s="54">
        <v>45015.732881944445</v>
      </c>
      <c r="O699" s="54"/>
      <c r="P699" s="54"/>
      <c r="Q699" t="s">
        <v>2613</v>
      </c>
      <c r="R699" t="s">
        <v>161</v>
      </c>
    </row>
    <row r="700" spans="1:18" x14ac:dyDescent="0.3">
      <c r="A700" t="s">
        <v>884</v>
      </c>
      <c r="B700" t="s">
        <v>3489</v>
      </c>
      <c r="C700" t="s">
        <v>2578</v>
      </c>
      <c r="D700" t="s">
        <v>2610</v>
      </c>
      <c r="E700" t="s">
        <v>3490</v>
      </c>
      <c r="F700" t="s">
        <v>2590</v>
      </c>
      <c r="G700" t="s">
        <v>161</v>
      </c>
      <c r="H700" t="s">
        <v>2603</v>
      </c>
      <c r="I700" t="s">
        <v>2603</v>
      </c>
      <c r="J700" t="s">
        <v>2773</v>
      </c>
      <c r="M700" t="s">
        <v>161</v>
      </c>
      <c r="N700" s="54">
        <v>45877.676712962966</v>
      </c>
      <c r="O700" s="54"/>
      <c r="P700" s="54"/>
      <c r="Q700" t="s">
        <v>2613</v>
      </c>
      <c r="R700" t="s">
        <v>161</v>
      </c>
    </row>
    <row r="701" spans="1:18" x14ac:dyDescent="0.3">
      <c r="A701" t="s">
        <v>884</v>
      </c>
      <c r="B701" t="s">
        <v>3489</v>
      </c>
      <c r="C701" t="s">
        <v>2578</v>
      </c>
      <c r="D701" t="s">
        <v>2610</v>
      </c>
      <c r="E701" t="s">
        <v>3491</v>
      </c>
      <c r="F701" t="s">
        <v>2590</v>
      </c>
      <c r="G701" t="s">
        <v>161</v>
      </c>
      <c r="H701" t="s">
        <v>2603</v>
      </c>
      <c r="I701" t="s">
        <v>2603</v>
      </c>
      <c r="J701" t="s">
        <v>2773</v>
      </c>
      <c r="M701" t="s">
        <v>161</v>
      </c>
      <c r="N701" s="54">
        <v>45048.384027777778</v>
      </c>
      <c r="O701" s="54"/>
      <c r="P701" s="54"/>
      <c r="Q701" t="s">
        <v>2613</v>
      </c>
      <c r="R701" t="s">
        <v>161</v>
      </c>
    </row>
    <row r="702" spans="1:18" x14ac:dyDescent="0.3">
      <c r="A702" t="s">
        <v>884</v>
      </c>
      <c r="B702" t="s">
        <v>3489</v>
      </c>
      <c r="C702" t="s">
        <v>2578</v>
      </c>
      <c r="D702" t="s">
        <v>2610</v>
      </c>
      <c r="E702" t="s">
        <v>3492</v>
      </c>
      <c r="F702" t="s">
        <v>2590</v>
      </c>
      <c r="G702" t="s">
        <v>161</v>
      </c>
      <c r="H702" t="s">
        <v>2603</v>
      </c>
      <c r="I702" t="s">
        <v>2603</v>
      </c>
      <c r="J702" t="s">
        <v>2773</v>
      </c>
      <c r="M702" t="s">
        <v>161</v>
      </c>
      <c r="N702" s="54">
        <v>45663.582858796297</v>
      </c>
      <c r="O702" s="54"/>
      <c r="P702" s="54"/>
      <c r="Q702" t="s">
        <v>2613</v>
      </c>
      <c r="R702" t="s">
        <v>161</v>
      </c>
    </row>
    <row r="703" spans="1:18" x14ac:dyDescent="0.3">
      <c r="A703" t="s">
        <v>884</v>
      </c>
      <c r="B703" t="s">
        <v>3489</v>
      </c>
      <c r="C703" t="s">
        <v>2578</v>
      </c>
      <c r="D703" t="s">
        <v>2610</v>
      </c>
      <c r="E703" t="s">
        <v>3493</v>
      </c>
      <c r="F703" t="s">
        <v>2590</v>
      </c>
      <c r="G703" t="s">
        <v>161</v>
      </c>
      <c r="H703" t="s">
        <v>2603</v>
      </c>
      <c r="I703" t="s">
        <v>2603</v>
      </c>
      <c r="J703" t="s">
        <v>2773</v>
      </c>
      <c r="M703" t="s">
        <v>161</v>
      </c>
      <c r="N703" s="54">
        <v>45852.629930555559</v>
      </c>
      <c r="O703" s="54"/>
      <c r="P703" s="54"/>
      <c r="Q703" t="s">
        <v>2613</v>
      </c>
      <c r="R703" t="s">
        <v>161</v>
      </c>
    </row>
    <row r="704" spans="1:18" x14ac:dyDescent="0.3">
      <c r="A704" t="s">
        <v>884</v>
      </c>
      <c r="B704" t="s">
        <v>3489</v>
      </c>
      <c r="C704" t="s">
        <v>2578</v>
      </c>
      <c r="D704" t="s">
        <v>2610</v>
      </c>
      <c r="E704" t="s">
        <v>3494</v>
      </c>
      <c r="F704" t="s">
        <v>2590</v>
      </c>
      <c r="G704" t="s">
        <v>161</v>
      </c>
      <c r="H704" t="s">
        <v>2603</v>
      </c>
      <c r="I704" t="s">
        <v>2603</v>
      </c>
      <c r="J704" t="s">
        <v>2773</v>
      </c>
      <c r="M704" t="s">
        <v>161</v>
      </c>
      <c r="N704" s="54">
        <v>45048.393171296295</v>
      </c>
      <c r="O704" s="54"/>
      <c r="P704" s="54"/>
      <c r="Q704" t="s">
        <v>2613</v>
      </c>
      <c r="R704" t="s">
        <v>161</v>
      </c>
    </row>
    <row r="705" spans="1:18" x14ac:dyDescent="0.3">
      <c r="A705" t="s">
        <v>884</v>
      </c>
      <c r="B705" t="s">
        <v>3489</v>
      </c>
      <c r="C705" t="s">
        <v>2578</v>
      </c>
      <c r="D705" t="s">
        <v>2610</v>
      </c>
      <c r="E705" t="s">
        <v>3495</v>
      </c>
      <c r="F705" t="s">
        <v>2590</v>
      </c>
      <c r="G705" t="s">
        <v>161</v>
      </c>
      <c r="H705" t="s">
        <v>2603</v>
      </c>
      <c r="I705" t="s">
        <v>2603</v>
      </c>
      <c r="J705" t="s">
        <v>2773</v>
      </c>
      <c r="M705" t="s">
        <v>161</v>
      </c>
      <c r="N705" s="54">
        <v>45048.393645833334</v>
      </c>
      <c r="O705" s="54"/>
      <c r="P705" s="54"/>
      <c r="Q705" t="s">
        <v>2613</v>
      </c>
      <c r="R705" t="s">
        <v>161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F44F-676A-4A00-AF72-F68365C93302}">
  <sheetPr codeName="Planilha1">
    <tabColor rgb="FFC00000"/>
  </sheetPr>
  <dimension ref="A1:E16"/>
  <sheetViews>
    <sheetView workbookViewId="0">
      <selection activeCell="G20" sqref="G20"/>
    </sheetView>
  </sheetViews>
  <sheetFormatPr defaultRowHeight="14.4" x14ac:dyDescent="0.3"/>
  <cols>
    <col min="1" max="1" width="31.109375" bestFit="1" customWidth="1"/>
    <col min="2" max="2" width="8.88671875" style="12"/>
    <col min="3" max="3" width="9.5546875" style="12" bestFit="1" customWidth="1"/>
    <col min="4" max="4" width="9.33203125" style="12" bestFit="1" customWidth="1"/>
    <col min="5" max="5" width="16.6640625" style="12" bestFit="1" customWidth="1"/>
  </cols>
  <sheetData>
    <row r="1" spans="1:5" x14ac:dyDescent="0.3">
      <c r="A1" s="1" t="s">
        <v>9</v>
      </c>
      <c r="B1" s="24" t="s">
        <v>6</v>
      </c>
      <c r="C1" s="24" t="s">
        <v>47</v>
      </c>
      <c r="D1" s="24" t="s">
        <v>108</v>
      </c>
      <c r="E1" s="48" t="s">
        <v>118</v>
      </c>
    </row>
    <row r="2" spans="1:5" x14ac:dyDescent="0.3">
      <c r="A2" s="2" t="s">
        <v>1</v>
      </c>
      <c r="B2" s="3" t="s">
        <v>7</v>
      </c>
      <c r="C2" s="3" t="s">
        <v>7</v>
      </c>
      <c r="D2" s="3"/>
      <c r="E2" s="49">
        <v>45789</v>
      </c>
    </row>
    <row r="3" spans="1:5" x14ac:dyDescent="0.3">
      <c r="A3" s="2" t="s">
        <v>2</v>
      </c>
      <c r="B3" s="3" t="s">
        <v>7</v>
      </c>
      <c r="C3" s="3" t="s">
        <v>7</v>
      </c>
      <c r="D3" s="3"/>
      <c r="E3" s="49">
        <v>45789</v>
      </c>
    </row>
    <row r="4" spans="1:5" x14ac:dyDescent="0.3">
      <c r="A4" s="2" t="s">
        <v>3</v>
      </c>
      <c r="B4" s="3" t="s">
        <v>7</v>
      </c>
      <c r="C4" s="3"/>
      <c r="D4" s="3"/>
      <c r="E4" s="49">
        <v>45789</v>
      </c>
    </row>
    <row r="5" spans="1:5" x14ac:dyDescent="0.3">
      <c r="A5" s="2" t="s">
        <v>4</v>
      </c>
      <c r="B5" s="3" t="s">
        <v>7</v>
      </c>
      <c r="C5" s="3" t="s">
        <v>7</v>
      </c>
      <c r="D5" s="3"/>
      <c r="E5" s="49">
        <v>45789</v>
      </c>
    </row>
    <row r="6" spans="1:5" x14ac:dyDescent="0.3">
      <c r="A6" s="2" t="s">
        <v>5</v>
      </c>
      <c r="B6" s="3" t="s">
        <v>7</v>
      </c>
      <c r="C6" s="3" t="s">
        <v>7</v>
      </c>
      <c r="D6" s="3"/>
      <c r="E6" s="49">
        <v>45789</v>
      </c>
    </row>
    <row r="7" spans="1:5" x14ac:dyDescent="0.3">
      <c r="A7" s="2" t="s">
        <v>8</v>
      </c>
      <c r="B7" s="3" t="s">
        <v>7</v>
      </c>
      <c r="C7" s="3"/>
      <c r="D7" s="3"/>
      <c r="E7" s="49"/>
    </row>
    <row r="8" spans="1:5" x14ac:dyDescent="0.3">
      <c r="A8" s="4" t="s">
        <v>10</v>
      </c>
      <c r="B8" s="5" t="s">
        <v>7</v>
      </c>
      <c r="C8" s="5" t="s">
        <v>7</v>
      </c>
      <c r="D8" s="5"/>
      <c r="E8" s="50">
        <v>45789</v>
      </c>
    </row>
    <row r="9" spans="1:5" x14ac:dyDescent="0.3">
      <c r="A9" s="4" t="s">
        <v>11</v>
      </c>
      <c r="B9" s="5" t="s">
        <v>7</v>
      </c>
      <c r="C9" s="5" t="s">
        <v>98</v>
      </c>
      <c r="D9" s="5"/>
      <c r="E9" s="50">
        <v>45789</v>
      </c>
    </row>
    <row r="10" spans="1:5" x14ac:dyDescent="0.3">
      <c r="A10" s="4" t="s">
        <v>12</v>
      </c>
      <c r="B10" s="5" t="s">
        <v>7</v>
      </c>
      <c r="C10" s="5" t="s">
        <v>7</v>
      </c>
      <c r="D10" s="5"/>
      <c r="E10" s="50">
        <v>45789</v>
      </c>
    </row>
    <row r="11" spans="1:5" x14ac:dyDescent="0.3">
      <c r="A11" s="4" t="s">
        <v>13</v>
      </c>
      <c r="B11" s="5" t="s">
        <v>7</v>
      </c>
      <c r="C11" s="5"/>
      <c r="D11" s="5"/>
      <c r="E11" s="50">
        <v>45789</v>
      </c>
    </row>
    <row r="12" spans="1:5" x14ac:dyDescent="0.3">
      <c r="A12" s="29" t="s">
        <v>14</v>
      </c>
      <c r="B12" s="30" t="s">
        <v>7</v>
      </c>
      <c r="C12" s="30"/>
      <c r="D12" s="30"/>
      <c r="E12" s="30"/>
    </row>
    <row r="13" spans="1:5" x14ac:dyDescent="0.3">
      <c r="A13" s="31" t="s">
        <v>48</v>
      </c>
      <c r="B13" s="32" t="s">
        <v>7</v>
      </c>
      <c r="C13" s="32" t="s">
        <v>7</v>
      </c>
      <c r="D13" s="32"/>
      <c r="E13" s="32"/>
    </row>
    <row r="14" spans="1:5" x14ac:dyDescent="0.3">
      <c r="A14" s="31" t="s">
        <v>99</v>
      </c>
      <c r="B14" s="32"/>
      <c r="C14" s="32"/>
      <c r="D14" s="32"/>
      <c r="E14" s="32"/>
    </row>
    <row r="15" spans="1:5" x14ac:dyDescent="0.3">
      <c r="A15" s="31" t="s">
        <v>100</v>
      </c>
      <c r="B15" s="32"/>
      <c r="C15" s="32"/>
      <c r="D15" s="32"/>
      <c r="E15" s="32"/>
    </row>
    <row r="16" spans="1:5" x14ac:dyDescent="0.3">
      <c r="A16" s="31" t="s">
        <v>101</v>
      </c>
      <c r="B16" s="32"/>
      <c r="C16" s="32"/>
      <c r="D16" s="32"/>
      <c r="E16" s="3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75C4-F604-4217-821E-DBC896990EE5}">
  <sheetPr codeName="Planilha2">
    <tabColor theme="6"/>
  </sheetPr>
  <dimension ref="A1:I13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13.5546875" style="6" customWidth="1"/>
    <col min="2" max="2" width="9.88671875" style="7" customWidth="1"/>
    <col min="3" max="3" width="18.44140625" style="12" customWidth="1"/>
    <col min="4" max="4" width="23.33203125" style="12" bestFit="1" customWidth="1"/>
    <col min="5" max="5" width="26.109375" style="12" bestFit="1" customWidth="1"/>
    <col min="6" max="6" width="10.6640625" style="12" customWidth="1"/>
    <col min="7" max="8" width="24.44140625" style="20" bestFit="1" customWidth="1"/>
    <col min="9" max="9" width="19" bestFit="1" customWidth="1"/>
  </cols>
  <sheetData>
    <row r="1" spans="1:9" x14ac:dyDescent="0.3">
      <c r="A1" s="13" t="s">
        <v>0</v>
      </c>
      <c r="B1" s="14" t="s">
        <v>17</v>
      </c>
      <c r="C1" s="15" t="s">
        <v>15</v>
      </c>
      <c r="D1" s="15" t="s">
        <v>16</v>
      </c>
      <c r="E1" s="15" t="s">
        <v>29</v>
      </c>
      <c r="F1" s="15" t="s">
        <v>33</v>
      </c>
      <c r="G1" s="18" t="s">
        <v>32</v>
      </c>
      <c r="H1" s="18" t="s">
        <v>31</v>
      </c>
      <c r="I1" s="33" t="s">
        <v>104</v>
      </c>
    </row>
    <row r="2" spans="1:9" x14ac:dyDescent="0.3">
      <c r="A2" s="55">
        <f ca="1">TODAY()</f>
        <v>45901</v>
      </c>
      <c r="B2" s="56">
        <f ca="1">_xlfn.ISOWEEKNUM(A2)</f>
        <v>36</v>
      </c>
      <c r="C2" s="57">
        <f>COUNTA(IARI[Medida])</f>
        <v>222</v>
      </c>
      <c r="D2" s="57"/>
      <c r="E2" s="57"/>
      <c r="F2" s="58">
        <v>1</v>
      </c>
      <c r="G2" s="59"/>
      <c r="H2" s="59">
        <v>1</v>
      </c>
      <c r="I2" s="60" t="s">
        <v>107</v>
      </c>
    </row>
    <row r="3" spans="1:9" x14ac:dyDescent="0.3">
      <c r="A3" s="9">
        <v>45824</v>
      </c>
      <c r="B3" s="10" t="s">
        <v>127</v>
      </c>
      <c r="C3" s="11">
        <v>292</v>
      </c>
      <c r="D3" s="11">
        <v>17</v>
      </c>
      <c r="E3" s="11">
        <v>13</v>
      </c>
      <c r="F3" s="42">
        <v>1</v>
      </c>
      <c r="G3" s="19">
        <v>0.96509999999999996</v>
      </c>
      <c r="H3" s="40">
        <v>1</v>
      </c>
      <c r="I3" s="44" t="s">
        <v>107</v>
      </c>
    </row>
    <row r="4" spans="1:9" x14ac:dyDescent="0.3">
      <c r="A4" s="9">
        <v>45832</v>
      </c>
      <c r="B4" s="10" t="s">
        <v>128</v>
      </c>
      <c r="C4" s="11">
        <v>274</v>
      </c>
      <c r="D4" s="11">
        <v>17</v>
      </c>
      <c r="E4" s="11">
        <v>13</v>
      </c>
      <c r="F4" s="42">
        <v>1</v>
      </c>
      <c r="G4" s="19">
        <f>1-((D4-E4)/(C4))</f>
        <v>0.98540145985401462</v>
      </c>
      <c r="H4" s="40">
        <v>1</v>
      </c>
      <c r="I4" s="44" t="s">
        <v>107</v>
      </c>
    </row>
    <row r="5" spans="1:9" x14ac:dyDescent="0.3">
      <c r="A5" s="9">
        <v>45839</v>
      </c>
      <c r="B5" s="10" t="s">
        <v>129</v>
      </c>
      <c r="C5" s="11">
        <v>246</v>
      </c>
      <c r="D5" s="11">
        <v>7</v>
      </c>
      <c r="E5" s="11">
        <v>0</v>
      </c>
      <c r="F5" s="42">
        <v>1</v>
      </c>
      <c r="G5" s="19">
        <f>1-((D5-E5)/(C5))</f>
        <v>0.97154471544715448</v>
      </c>
      <c r="H5" s="40">
        <v>1</v>
      </c>
      <c r="I5" s="44" t="s">
        <v>107</v>
      </c>
    </row>
    <row r="6" spans="1:9" x14ac:dyDescent="0.3">
      <c r="A6" s="9">
        <v>45846</v>
      </c>
      <c r="B6" s="10" t="s">
        <v>130</v>
      </c>
      <c r="C6" s="11">
        <v>252</v>
      </c>
      <c r="D6" s="11">
        <v>7</v>
      </c>
      <c r="E6" s="11">
        <v>0</v>
      </c>
      <c r="F6" s="42">
        <v>1</v>
      </c>
      <c r="G6" s="19">
        <f>1-((D6-E6)/(C6))</f>
        <v>0.97222222222222221</v>
      </c>
      <c r="H6" s="40">
        <v>1</v>
      </c>
      <c r="I6" s="44" t="s">
        <v>107</v>
      </c>
    </row>
    <row r="7" spans="1:9" x14ac:dyDescent="0.3">
      <c r="A7" s="9">
        <v>45854</v>
      </c>
      <c r="B7" s="10" t="s">
        <v>131</v>
      </c>
      <c r="C7" s="11">
        <v>250</v>
      </c>
      <c r="D7" s="11">
        <v>6</v>
      </c>
      <c r="E7" s="11">
        <v>0</v>
      </c>
      <c r="F7" s="42">
        <v>1</v>
      </c>
      <c r="G7" s="19">
        <v>0.98970000000000002</v>
      </c>
      <c r="H7" s="40">
        <v>1</v>
      </c>
      <c r="I7" s="44" t="s">
        <v>107</v>
      </c>
    </row>
    <row r="8" spans="1:9" x14ac:dyDescent="0.3">
      <c r="A8" s="9">
        <v>45860</v>
      </c>
      <c r="B8" s="10" t="s">
        <v>132</v>
      </c>
      <c r="C8" s="11">
        <v>252</v>
      </c>
      <c r="D8" s="11">
        <v>6</v>
      </c>
      <c r="E8" s="11">
        <v>0</v>
      </c>
      <c r="F8" s="42">
        <v>1</v>
      </c>
      <c r="G8" s="19">
        <v>0.98970000000000002</v>
      </c>
      <c r="H8" s="40">
        <v>1</v>
      </c>
      <c r="I8" s="44" t="s">
        <v>107</v>
      </c>
    </row>
    <row r="9" spans="1:9" x14ac:dyDescent="0.3">
      <c r="A9" s="9">
        <v>45867</v>
      </c>
      <c r="B9" s="10" t="s">
        <v>134</v>
      </c>
      <c r="C9" s="11">
        <v>250</v>
      </c>
      <c r="D9" s="11">
        <v>6</v>
      </c>
      <c r="E9" s="11">
        <v>0</v>
      </c>
      <c r="F9" s="42">
        <v>1</v>
      </c>
      <c r="G9" s="19">
        <v>0.98970000000000002</v>
      </c>
      <c r="H9" s="40">
        <v>1</v>
      </c>
      <c r="I9" s="44" t="s">
        <v>107</v>
      </c>
    </row>
    <row r="10" spans="1:9" x14ac:dyDescent="0.3">
      <c r="A10" s="9">
        <v>45874</v>
      </c>
      <c r="B10" s="10" t="s">
        <v>135</v>
      </c>
      <c r="C10" s="11">
        <v>237</v>
      </c>
      <c r="D10" s="11"/>
      <c r="E10" s="11"/>
      <c r="F10" s="42">
        <v>1</v>
      </c>
      <c r="G10" s="19">
        <v>0.98480000000000001</v>
      </c>
      <c r="H10" s="40">
        <v>1</v>
      </c>
      <c r="I10" s="44" t="s">
        <v>107</v>
      </c>
    </row>
    <row r="11" spans="1:9" x14ac:dyDescent="0.3">
      <c r="A11" s="9">
        <v>45881</v>
      </c>
      <c r="B11" s="10" t="s">
        <v>136</v>
      </c>
      <c r="C11" s="11">
        <v>242</v>
      </c>
      <c r="D11" s="11"/>
      <c r="E11" s="11"/>
      <c r="F11" s="42">
        <v>1</v>
      </c>
      <c r="G11" s="19">
        <v>0.98860000000000003</v>
      </c>
      <c r="H11" s="40">
        <v>1</v>
      </c>
      <c r="I11" s="44" t="s">
        <v>107</v>
      </c>
    </row>
    <row r="12" spans="1:9" x14ac:dyDescent="0.3">
      <c r="A12" s="9">
        <v>45887</v>
      </c>
      <c r="B12" s="10" t="s">
        <v>137</v>
      </c>
      <c r="C12" s="11"/>
      <c r="D12" s="11"/>
      <c r="E12" s="11"/>
      <c r="F12" s="42"/>
      <c r="G12" s="19"/>
      <c r="H12" s="40"/>
      <c r="I12" s="44"/>
    </row>
    <row r="13" spans="1:9" x14ac:dyDescent="0.3">
      <c r="A13" s="9">
        <v>45901</v>
      </c>
      <c r="B13" s="10" t="s">
        <v>138</v>
      </c>
      <c r="C13" s="11"/>
      <c r="D13" s="11"/>
      <c r="E13" s="11"/>
      <c r="F13" s="42"/>
      <c r="G13" s="19"/>
      <c r="H13" s="40"/>
      <c r="I13" s="44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F8B4-D065-456E-B591-FFF4E4DF4FAD}">
  <sheetPr codeName="Planilha3">
    <tabColor theme="6"/>
  </sheetPr>
  <dimension ref="A1:H10"/>
  <sheetViews>
    <sheetView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1" width="11.109375" customWidth="1"/>
    <col min="2" max="2" width="7.5546875" bestFit="1" customWidth="1"/>
    <col min="3" max="3" width="23" bestFit="1" customWidth="1"/>
    <col min="4" max="6" width="23" customWidth="1"/>
    <col min="7" max="7" width="23" bestFit="1" customWidth="1"/>
    <col min="8" max="8" width="19" bestFit="1" customWidth="1"/>
  </cols>
  <sheetData>
    <row r="1" spans="1:8" x14ac:dyDescent="0.3">
      <c r="A1" s="13" t="s">
        <v>0</v>
      </c>
      <c r="B1" s="14" t="s">
        <v>17</v>
      </c>
      <c r="C1" s="15" t="s">
        <v>30</v>
      </c>
      <c r="D1" s="15" t="s">
        <v>102</v>
      </c>
      <c r="E1" s="15" t="s">
        <v>119</v>
      </c>
      <c r="F1" s="15" t="s">
        <v>120</v>
      </c>
      <c r="G1" s="15" t="s">
        <v>33</v>
      </c>
      <c r="H1" s="33" t="s">
        <v>104</v>
      </c>
    </row>
    <row r="2" spans="1:8" x14ac:dyDescent="0.3">
      <c r="A2" s="9">
        <v>45776</v>
      </c>
      <c r="B2" s="10" t="str">
        <f t="shared" ref="B2:B3" si="0">CONCATENATE(YEAR(A2),".",_xlfn.ISOWEEKNUM(A2))</f>
        <v>2025.18</v>
      </c>
      <c r="C2" s="11">
        <v>3</v>
      </c>
      <c r="D2" s="11">
        <v>635</v>
      </c>
      <c r="E2" s="16">
        <v>1</v>
      </c>
      <c r="F2" s="40">
        <f t="shared" ref="F2:F9" si="1">1-(C2/D2)</f>
        <v>0.99527559055118109</v>
      </c>
      <c r="G2" s="41">
        <v>1</v>
      </c>
      <c r="H2" s="44" t="s">
        <v>107</v>
      </c>
    </row>
    <row r="3" spans="1:8" x14ac:dyDescent="0.3">
      <c r="A3" s="9">
        <v>45782</v>
      </c>
      <c r="B3" s="10" t="str">
        <f t="shared" si="0"/>
        <v>2025.19</v>
      </c>
      <c r="C3" s="11">
        <v>65</v>
      </c>
      <c r="D3" s="11">
        <v>635</v>
      </c>
      <c r="E3" s="16">
        <v>1</v>
      </c>
      <c r="F3" s="40">
        <f t="shared" si="1"/>
        <v>0.89763779527559051</v>
      </c>
      <c r="G3" s="41">
        <v>1</v>
      </c>
      <c r="H3" s="44" t="s">
        <v>107</v>
      </c>
    </row>
    <row r="4" spans="1:8" x14ac:dyDescent="0.3">
      <c r="A4" s="9">
        <v>45789</v>
      </c>
      <c r="B4" s="10" t="s">
        <v>109</v>
      </c>
      <c r="C4" s="11">
        <v>51</v>
      </c>
      <c r="D4" s="11">
        <v>685</v>
      </c>
      <c r="E4" s="16">
        <v>1</v>
      </c>
      <c r="F4" s="40">
        <f t="shared" si="1"/>
        <v>0.9255474452554745</v>
      </c>
      <c r="G4" s="41">
        <v>1</v>
      </c>
      <c r="H4" s="44" t="s">
        <v>107</v>
      </c>
    </row>
    <row r="5" spans="1:8" x14ac:dyDescent="0.3">
      <c r="A5" s="9">
        <v>45804</v>
      </c>
      <c r="B5" s="10" t="s">
        <v>124</v>
      </c>
      <c r="C5" s="11">
        <v>4</v>
      </c>
      <c r="D5" s="11">
        <v>658</v>
      </c>
      <c r="E5" s="16">
        <v>1</v>
      </c>
      <c r="F5" s="40">
        <f t="shared" si="1"/>
        <v>0.99392097264437695</v>
      </c>
      <c r="G5" s="41">
        <v>1</v>
      </c>
      <c r="H5" s="44" t="s">
        <v>107</v>
      </c>
    </row>
    <row r="6" spans="1:8" x14ac:dyDescent="0.3">
      <c r="A6" s="9">
        <v>45811</v>
      </c>
      <c r="B6" s="10" t="s">
        <v>125</v>
      </c>
      <c r="C6" s="11">
        <v>92</v>
      </c>
      <c r="D6" s="11">
        <v>655</v>
      </c>
      <c r="E6" s="16">
        <v>1</v>
      </c>
      <c r="F6" s="40">
        <f t="shared" si="1"/>
        <v>0.85954198473282439</v>
      </c>
      <c r="G6" s="41">
        <v>1</v>
      </c>
      <c r="H6" s="44" t="s">
        <v>107</v>
      </c>
    </row>
    <row r="7" spans="1:8" x14ac:dyDescent="0.3">
      <c r="A7" s="9">
        <v>45818</v>
      </c>
      <c r="B7" s="10" t="s">
        <v>126</v>
      </c>
      <c r="C7" s="11">
        <v>10</v>
      </c>
      <c r="D7" s="11">
        <v>651</v>
      </c>
      <c r="E7" s="16">
        <v>1</v>
      </c>
      <c r="F7" s="40">
        <f t="shared" si="1"/>
        <v>0.98463901689708144</v>
      </c>
      <c r="G7" s="41">
        <v>1</v>
      </c>
      <c r="H7" s="44" t="s">
        <v>107</v>
      </c>
    </row>
    <row r="8" spans="1:8" x14ac:dyDescent="0.3">
      <c r="A8" s="9">
        <v>45824</v>
      </c>
      <c r="B8" s="10" t="s">
        <v>127</v>
      </c>
      <c r="C8" s="11">
        <v>10</v>
      </c>
      <c r="D8" s="11">
        <v>654</v>
      </c>
      <c r="E8" s="16">
        <v>1</v>
      </c>
      <c r="F8" s="40">
        <f t="shared" si="1"/>
        <v>0.98470948012232418</v>
      </c>
      <c r="G8" s="41">
        <v>1</v>
      </c>
      <c r="H8" s="44" t="s">
        <v>107</v>
      </c>
    </row>
    <row r="9" spans="1:8" x14ac:dyDescent="0.3">
      <c r="A9" s="9">
        <v>45854</v>
      </c>
      <c r="B9" s="10" t="s">
        <v>128</v>
      </c>
      <c r="C9" s="11">
        <v>12</v>
      </c>
      <c r="D9" s="11">
        <v>614</v>
      </c>
      <c r="E9" s="16">
        <v>1</v>
      </c>
      <c r="F9" s="40">
        <f t="shared" si="1"/>
        <v>0.98045602605863191</v>
      </c>
      <c r="G9" s="41">
        <v>1</v>
      </c>
      <c r="H9" s="44" t="s">
        <v>107</v>
      </c>
    </row>
    <row r="10" spans="1:8" x14ac:dyDescent="0.3">
      <c r="A10" s="6">
        <v>45860</v>
      </c>
      <c r="B10" s="53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10E3-649C-4936-A31B-BB405F669FC1}">
  <sheetPr codeName="Planilha4">
    <tabColor theme="6"/>
  </sheetPr>
  <dimension ref="A1:E20"/>
  <sheetViews>
    <sheetView workbookViewId="0">
      <pane ySplit="2" topLeftCell="A3" activePane="bottomLeft" state="frozen"/>
      <selection pane="bottomLeft" activeCell="A21" sqref="A21:XFD21"/>
    </sheetView>
  </sheetViews>
  <sheetFormatPr defaultRowHeight="14.4" x14ac:dyDescent="0.3"/>
  <cols>
    <col min="1" max="1" width="10.33203125" bestFit="1" customWidth="1"/>
    <col min="2" max="2" width="15.33203125" customWidth="1"/>
    <col min="3" max="4" width="23" bestFit="1" customWidth="1"/>
    <col min="5" max="5" width="19" bestFit="1" customWidth="1"/>
  </cols>
  <sheetData>
    <row r="1" spans="1:5" x14ac:dyDescent="0.3">
      <c r="A1" s="13" t="s">
        <v>0</v>
      </c>
      <c r="B1" s="14" t="s">
        <v>17</v>
      </c>
      <c r="C1" s="15" t="s">
        <v>103</v>
      </c>
      <c r="D1" s="15" t="s">
        <v>33</v>
      </c>
      <c r="E1" s="33" t="s">
        <v>104</v>
      </c>
    </row>
    <row r="2" spans="1:5" s="12" customFormat="1" x14ac:dyDescent="0.3">
      <c r="A2" s="62">
        <f ca="1">TODAY()</f>
        <v>45901</v>
      </c>
      <c r="B2" s="63" t="str">
        <f ca="1">CONCATENATE(YEAR(A2),".",_xlfn.ISOWEEKNUM(A2))</f>
        <v>2025.36</v>
      </c>
      <c r="C2" s="61">
        <f>COUNTA(pfceo[NOTA])</f>
        <v>5</v>
      </c>
      <c r="D2" s="61">
        <v>10</v>
      </c>
      <c r="E2" s="60" t="s">
        <v>106</v>
      </c>
    </row>
    <row r="3" spans="1:5" x14ac:dyDescent="0.3">
      <c r="A3" s="9">
        <v>45776</v>
      </c>
      <c r="B3" s="10" t="str">
        <f t="shared" ref="B3:B4" si="0">CONCATENATE(YEAR(A3),".",_xlfn.ISOWEEKNUM(A3))</f>
        <v>2025.18</v>
      </c>
      <c r="C3" s="11">
        <v>8</v>
      </c>
      <c r="D3" s="39">
        <v>10</v>
      </c>
      <c r="E3" s="44" t="s">
        <v>106</v>
      </c>
    </row>
    <row r="4" spans="1:5" x14ac:dyDescent="0.3">
      <c r="A4" s="9">
        <v>45782</v>
      </c>
      <c r="B4" s="10" t="str">
        <f t="shared" si="0"/>
        <v>2025.19</v>
      </c>
      <c r="C4" s="11">
        <v>10</v>
      </c>
      <c r="D4" s="39">
        <v>10</v>
      </c>
      <c r="E4" s="44" t="s">
        <v>106</v>
      </c>
    </row>
    <row r="5" spans="1:5" x14ac:dyDescent="0.3">
      <c r="A5" s="9">
        <v>45789</v>
      </c>
      <c r="B5" s="10" t="s">
        <v>109</v>
      </c>
      <c r="C5" s="11">
        <v>5</v>
      </c>
      <c r="D5" s="39">
        <v>10</v>
      </c>
      <c r="E5" s="44" t="s">
        <v>106</v>
      </c>
    </row>
    <row r="6" spans="1:5" x14ac:dyDescent="0.3">
      <c r="A6" s="9">
        <v>45804</v>
      </c>
      <c r="B6" s="10" t="s">
        <v>124</v>
      </c>
      <c r="C6" s="11">
        <v>8</v>
      </c>
      <c r="D6" s="39">
        <v>10</v>
      </c>
      <c r="E6" s="44" t="s">
        <v>106</v>
      </c>
    </row>
    <row r="7" spans="1:5" x14ac:dyDescent="0.3">
      <c r="A7" s="9">
        <v>45811</v>
      </c>
      <c r="B7" s="10" t="s">
        <v>125</v>
      </c>
      <c r="C7" s="11">
        <v>9</v>
      </c>
      <c r="D7" s="39">
        <v>10</v>
      </c>
      <c r="E7" s="44" t="s">
        <v>106</v>
      </c>
    </row>
    <row r="8" spans="1:5" x14ac:dyDescent="0.3">
      <c r="A8" s="9">
        <v>45818</v>
      </c>
      <c r="B8" s="10" t="s">
        <v>126</v>
      </c>
      <c r="C8" s="11">
        <v>8</v>
      </c>
      <c r="D8" s="39">
        <v>10</v>
      </c>
      <c r="E8" s="44" t="s">
        <v>106</v>
      </c>
    </row>
    <row r="9" spans="1:5" x14ac:dyDescent="0.3">
      <c r="A9" s="9">
        <v>45824</v>
      </c>
      <c r="B9" s="10" t="s">
        <v>127</v>
      </c>
      <c r="C9" s="11">
        <v>8</v>
      </c>
      <c r="D9" s="39">
        <v>10</v>
      </c>
      <c r="E9" s="44" t="s">
        <v>106</v>
      </c>
    </row>
    <row r="10" spans="1:5" x14ac:dyDescent="0.3">
      <c r="A10" s="9">
        <v>45832</v>
      </c>
      <c r="B10" s="10" t="s">
        <v>128</v>
      </c>
      <c r="C10" s="11">
        <v>10</v>
      </c>
      <c r="D10" s="39">
        <v>10</v>
      </c>
      <c r="E10" s="44" t="s">
        <v>106</v>
      </c>
    </row>
    <row r="11" spans="1:5" x14ac:dyDescent="0.3">
      <c r="A11" s="9">
        <v>45839</v>
      </c>
      <c r="B11" s="10" t="s">
        <v>129</v>
      </c>
      <c r="C11" s="11">
        <v>8</v>
      </c>
      <c r="D11" s="39">
        <v>10</v>
      </c>
      <c r="E11" s="44" t="s">
        <v>106</v>
      </c>
    </row>
    <row r="12" spans="1:5" x14ac:dyDescent="0.3">
      <c r="A12" s="9">
        <v>45846</v>
      </c>
      <c r="B12" s="10" t="s">
        <v>130</v>
      </c>
      <c r="C12" s="11">
        <v>9</v>
      </c>
      <c r="D12" s="39">
        <v>10</v>
      </c>
      <c r="E12" s="44" t="s">
        <v>106</v>
      </c>
    </row>
    <row r="13" spans="1:5" x14ac:dyDescent="0.3">
      <c r="A13" s="9">
        <v>45854</v>
      </c>
      <c r="B13" s="10" t="s">
        <v>131</v>
      </c>
      <c r="C13" s="11">
        <v>9</v>
      </c>
      <c r="D13" s="39">
        <v>10</v>
      </c>
      <c r="E13" s="44" t="s">
        <v>106</v>
      </c>
    </row>
    <row r="14" spans="1:5" x14ac:dyDescent="0.3">
      <c r="A14" s="9">
        <v>45860</v>
      </c>
      <c r="B14" s="10" t="s">
        <v>132</v>
      </c>
      <c r="C14" s="11">
        <v>7</v>
      </c>
      <c r="D14" s="39">
        <v>10</v>
      </c>
      <c r="E14" s="44" t="s">
        <v>106</v>
      </c>
    </row>
    <row r="15" spans="1:5" x14ac:dyDescent="0.3">
      <c r="A15" s="9">
        <v>45867</v>
      </c>
      <c r="B15" s="10" t="s">
        <v>134</v>
      </c>
      <c r="C15" s="11">
        <v>10</v>
      </c>
      <c r="D15" s="39">
        <v>10</v>
      </c>
      <c r="E15" s="44" t="s">
        <v>106</v>
      </c>
    </row>
    <row r="16" spans="1:5" x14ac:dyDescent="0.3">
      <c r="A16" s="9">
        <v>45874</v>
      </c>
      <c r="B16" s="10" t="s">
        <v>135</v>
      </c>
      <c r="C16" s="11">
        <v>12</v>
      </c>
      <c r="D16" s="39">
        <v>10</v>
      </c>
      <c r="E16" s="44" t="s">
        <v>106</v>
      </c>
    </row>
    <row r="17" spans="1:5" x14ac:dyDescent="0.3">
      <c r="A17" s="9">
        <v>45881</v>
      </c>
      <c r="B17" s="10" t="s">
        <v>137</v>
      </c>
      <c r="C17" s="11">
        <v>5</v>
      </c>
      <c r="D17" s="39">
        <v>10</v>
      </c>
      <c r="E17" s="44" t="s">
        <v>106</v>
      </c>
    </row>
    <row r="18" spans="1:5" x14ac:dyDescent="0.3">
      <c r="A18" s="9">
        <v>45887</v>
      </c>
      <c r="B18" s="10" t="s">
        <v>138</v>
      </c>
      <c r="C18" s="11">
        <v>5</v>
      </c>
      <c r="D18" s="39">
        <v>10</v>
      </c>
      <c r="E18" s="44" t="s">
        <v>106</v>
      </c>
    </row>
    <row r="19" spans="1:5" x14ac:dyDescent="0.3">
      <c r="A19" s="9">
        <v>45895</v>
      </c>
      <c r="B19" s="10" t="s">
        <v>3497</v>
      </c>
      <c r="C19" s="11">
        <v>6</v>
      </c>
      <c r="D19" s="39">
        <v>10</v>
      </c>
      <c r="E19" s="44" t="s">
        <v>106</v>
      </c>
    </row>
    <row r="20" spans="1:5" x14ac:dyDescent="0.3">
      <c r="A20" s="9">
        <v>45901</v>
      </c>
      <c r="B20" s="10" t="s">
        <v>3496</v>
      </c>
      <c r="C20" s="11">
        <v>5</v>
      </c>
      <c r="D20" s="39">
        <v>10</v>
      </c>
      <c r="E20" s="44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F7C1-BA1A-41C6-A1CE-FE25E68FEC66}">
  <sheetPr codeName="Planilha5">
    <tabColor theme="6"/>
  </sheetPr>
  <dimension ref="A1:E34"/>
  <sheetViews>
    <sheetView workbookViewId="0">
      <pane ySplit="1" topLeftCell="A2" activePane="bottomLeft" state="frozen"/>
      <selection pane="bottomLeft" activeCell="H26" sqref="H26"/>
    </sheetView>
  </sheetViews>
  <sheetFormatPr defaultRowHeight="14.4" x14ac:dyDescent="0.3"/>
  <cols>
    <col min="1" max="1" width="10.33203125" bestFit="1" customWidth="1"/>
    <col min="2" max="2" width="14.88671875" style="12" customWidth="1"/>
    <col min="3" max="3" width="23" bestFit="1" customWidth="1"/>
    <col min="4" max="4" width="13.6640625" style="35" customWidth="1"/>
    <col min="5" max="5" width="19" bestFit="1" customWidth="1"/>
  </cols>
  <sheetData>
    <row r="1" spans="1:5" x14ac:dyDescent="0.3">
      <c r="A1" s="13" t="s">
        <v>0</v>
      </c>
      <c r="B1" s="43" t="s">
        <v>17</v>
      </c>
      <c r="C1" s="15" t="s">
        <v>56</v>
      </c>
      <c r="D1" s="33" t="s">
        <v>33</v>
      </c>
      <c r="E1" s="33" t="s">
        <v>104</v>
      </c>
    </row>
    <row r="2" spans="1:5" s="12" customFormat="1" x14ac:dyDescent="0.3">
      <c r="A2" s="62">
        <f ca="1">TODAY()</f>
        <v>45901</v>
      </c>
      <c r="B2" s="63" t="str">
        <f ca="1">CONCATENATE(YEAR(A2),".",_xlfn.ISOWEEKNUM(A2))</f>
        <v>2025.36</v>
      </c>
      <c r="C2" s="61">
        <f>COUNTA(BD_foco_vazamentos!E:E)-1</f>
        <v>96</v>
      </c>
      <c r="D2" s="61">
        <v>50</v>
      </c>
      <c r="E2" s="60" t="s">
        <v>106</v>
      </c>
    </row>
    <row r="3" spans="1:5" x14ac:dyDescent="0.3">
      <c r="A3" s="9">
        <v>45660</v>
      </c>
      <c r="B3" s="44" t="s">
        <v>34</v>
      </c>
      <c r="C3" s="11">
        <v>63</v>
      </c>
      <c r="D3" s="34">
        <v>50</v>
      </c>
      <c r="E3" s="44" t="s">
        <v>106</v>
      </c>
    </row>
    <row r="4" spans="1:5" x14ac:dyDescent="0.3">
      <c r="A4" s="9">
        <v>45663</v>
      </c>
      <c r="B4" s="44" t="s">
        <v>35</v>
      </c>
      <c r="C4" s="11">
        <v>64</v>
      </c>
      <c r="D4" s="34">
        <v>50</v>
      </c>
      <c r="E4" s="44" t="s">
        <v>106</v>
      </c>
    </row>
    <row r="5" spans="1:5" x14ac:dyDescent="0.3">
      <c r="A5" s="9">
        <v>45670</v>
      </c>
      <c r="B5" s="44" t="s">
        <v>36</v>
      </c>
      <c r="C5" s="11">
        <v>69</v>
      </c>
      <c r="D5" s="34">
        <v>50</v>
      </c>
      <c r="E5" s="44" t="s">
        <v>106</v>
      </c>
    </row>
    <row r="6" spans="1:5" x14ac:dyDescent="0.3">
      <c r="A6" s="9">
        <v>45677</v>
      </c>
      <c r="B6" s="44" t="s">
        <v>37</v>
      </c>
      <c r="C6" s="11">
        <v>74</v>
      </c>
      <c r="D6" s="34">
        <v>50</v>
      </c>
      <c r="E6" s="44" t="s">
        <v>106</v>
      </c>
    </row>
    <row r="7" spans="1:5" x14ac:dyDescent="0.3">
      <c r="A7" s="9">
        <v>45691</v>
      </c>
      <c r="B7" s="44" t="s">
        <v>39</v>
      </c>
      <c r="C7" s="11">
        <v>80</v>
      </c>
      <c r="D7" s="34">
        <v>50</v>
      </c>
      <c r="E7" s="44" t="s">
        <v>106</v>
      </c>
    </row>
    <row r="8" spans="1:5" x14ac:dyDescent="0.3">
      <c r="A8" s="9">
        <v>45700</v>
      </c>
      <c r="B8" s="44" t="s">
        <v>40</v>
      </c>
      <c r="C8" s="11">
        <v>80</v>
      </c>
      <c r="D8" s="34">
        <v>50</v>
      </c>
      <c r="E8" s="44" t="s">
        <v>106</v>
      </c>
    </row>
    <row r="9" spans="1:5" x14ac:dyDescent="0.3">
      <c r="A9" s="9">
        <v>45707</v>
      </c>
      <c r="B9" s="44" t="s">
        <v>27</v>
      </c>
      <c r="C9" s="11">
        <v>75</v>
      </c>
      <c r="D9" s="34">
        <v>50</v>
      </c>
      <c r="E9" s="44" t="s">
        <v>106</v>
      </c>
    </row>
    <row r="10" spans="1:5" x14ac:dyDescent="0.3">
      <c r="A10" s="9">
        <v>45712</v>
      </c>
      <c r="B10" s="44" t="s">
        <v>28</v>
      </c>
      <c r="C10" s="11">
        <v>75</v>
      </c>
      <c r="D10" s="34">
        <v>50</v>
      </c>
      <c r="E10" s="44" t="s">
        <v>106</v>
      </c>
    </row>
    <row r="11" spans="1:5" x14ac:dyDescent="0.3">
      <c r="A11" s="9">
        <v>45722</v>
      </c>
      <c r="B11" s="44" t="str">
        <f t="shared" ref="B11:B33" si="0">CONCATENATE(YEAR(A11),".",_xlfn.ISOWEEKNUM(A11))</f>
        <v>2025.10</v>
      </c>
      <c r="C11" s="11">
        <v>75</v>
      </c>
      <c r="D11" s="34">
        <v>50</v>
      </c>
      <c r="E11" s="44" t="s">
        <v>106</v>
      </c>
    </row>
    <row r="12" spans="1:5" x14ac:dyDescent="0.3">
      <c r="A12" s="9">
        <v>45726</v>
      </c>
      <c r="B12" s="44" t="str">
        <f t="shared" si="0"/>
        <v>2025.11</v>
      </c>
      <c r="C12" s="11">
        <v>69</v>
      </c>
      <c r="D12" s="34">
        <v>50</v>
      </c>
      <c r="E12" s="44" t="s">
        <v>106</v>
      </c>
    </row>
    <row r="13" spans="1:5" x14ac:dyDescent="0.3">
      <c r="A13" s="9">
        <v>45735</v>
      </c>
      <c r="B13" s="44" t="str">
        <f t="shared" si="0"/>
        <v>2025.12</v>
      </c>
      <c r="C13" s="11">
        <v>68</v>
      </c>
      <c r="D13" s="34">
        <v>50</v>
      </c>
      <c r="E13" s="44" t="s">
        <v>106</v>
      </c>
    </row>
    <row r="14" spans="1:5" x14ac:dyDescent="0.3">
      <c r="A14" s="9">
        <v>45742</v>
      </c>
      <c r="B14" s="44" t="str">
        <f t="shared" si="0"/>
        <v>2025.13</v>
      </c>
      <c r="C14" s="11">
        <v>67</v>
      </c>
      <c r="D14" s="34">
        <v>50</v>
      </c>
      <c r="E14" s="44" t="s">
        <v>106</v>
      </c>
    </row>
    <row r="15" spans="1:5" x14ac:dyDescent="0.3">
      <c r="A15" s="9">
        <v>45747</v>
      </c>
      <c r="B15" s="44" t="str">
        <f t="shared" si="0"/>
        <v>2025.14</v>
      </c>
      <c r="C15" s="11">
        <v>65</v>
      </c>
      <c r="D15" s="34">
        <v>50</v>
      </c>
      <c r="E15" s="44" t="s">
        <v>106</v>
      </c>
    </row>
    <row r="16" spans="1:5" x14ac:dyDescent="0.3">
      <c r="A16" s="9">
        <v>45756</v>
      </c>
      <c r="B16" s="44" t="str">
        <f t="shared" si="0"/>
        <v>2025.15</v>
      </c>
      <c r="C16" s="11">
        <v>68</v>
      </c>
      <c r="D16" s="34">
        <v>50</v>
      </c>
      <c r="E16" s="44" t="s">
        <v>106</v>
      </c>
    </row>
    <row r="17" spans="1:5" x14ac:dyDescent="0.3">
      <c r="A17" s="9">
        <v>45763</v>
      </c>
      <c r="B17" s="44" t="str">
        <f t="shared" si="0"/>
        <v>2025.16</v>
      </c>
      <c r="C17" s="11">
        <v>68</v>
      </c>
      <c r="D17" s="34">
        <v>50</v>
      </c>
      <c r="E17" s="44" t="s">
        <v>106</v>
      </c>
    </row>
    <row r="18" spans="1:5" x14ac:dyDescent="0.3">
      <c r="A18" s="9">
        <v>45769</v>
      </c>
      <c r="B18" s="44" t="str">
        <f t="shared" si="0"/>
        <v>2025.17</v>
      </c>
      <c r="C18" s="11">
        <v>70</v>
      </c>
      <c r="D18" s="34">
        <v>50</v>
      </c>
      <c r="E18" s="44" t="s">
        <v>106</v>
      </c>
    </row>
    <row r="19" spans="1:5" x14ac:dyDescent="0.3">
      <c r="A19" s="9">
        <v>45776</v>
      </c>
      <c r="B19" s="44" t="str">
        <f t="shared" si="0"/>
        <v>2025.18</v>
      </c>
      <c r="C19" s="11">
        <v>65</v>
      </c>
      <c r="D19" s="34">
        <v>50</v>
      </c>
      <c r="E19" s="44" t="s">
        <v>106</v>
      </c>
    </row>
    <row r="20" spans="1:5" x14ac:dyDescent="0.3">
      <c r="A20" s="9">
        <v>45782</v>
      </c>
      <c r="B20" s="44" t="str">
        <f t="shared" si="0"/>
        <v>2025.19</v>
      </c>
      <c r="C20" s="11">
        <v>91</v>
      </c>
      <c r="D20" s="34">
        <v>50</v>
      </c>
      <c r="E20" s="44" t="s">
        <v>106</v>
      </c>
    </row>
    <row r="21" spans="1:5" x14ac:dyDescent="0.3">
      <c r="A21" s="9">
        <v>45789</v>
      </c>
      <c r="B21" s="44" t="str">
        <f t="shared" si="0"/>
        <v>2025.20</v>
      </c>
      <c r="C21" s="11">
        <v>100</v>
      </c>
      <c r="D21" s="34">
        <v>50</v>
      </c>
      <c r="E21" s="44" t="s">
        <v>106</v>
      </c>
    </row>
    <row r="22" spans="1:5" x14ac:dyDescent="0.3">
      <c r="A22" s="9">
        <v>45804</v>
      </c>
      <c r="B22" s="44" t="str">
        <f t="shared" si="0"/>
        <v>2025.22</v>
      </c>
      <c r="C22" s="11">
        <v>89</v>
      </c>
      <c r="D22" s="34">
        <v>50</v>
      </c>
      <c r="E22" s="44" t="s">
        <v>106</v>
      </c>
    </row>
    <row r="23" spans="1:5" x14ac:dyDescent="0.3">
      <c r="A23" s="9">
        <v>45811</v>
      </c>
      <c r="B23" s="44" t="str">
        <f t="shared" si="0"/>
        <v>2025.23</v>
      </c>
      <c r="C23" s="11">
        <v>95</v>
      </c>
      <c r="D23" s="34">
        <v>50</v>
      </c>
      <c r="E23" s="44" t="s">
        <v>106</v>
      </c>
    </row>
    <row r="24" spans="1:5" x14ac:dyDescent="0.3">
      <c r="A24" s="9">
        <v>45818</v>
      </c>
      <c r="B24" s="44" t="str">
        <f t="shared" si="0"/>
        <v>2025.24</v>
      </c>
      <c r="C24" s="11">
        <v>95</v>
      </c>
      <c r="D24" s="34">
        <v>50</v>
      </c>
      <c r="E24" s="44" t="s">
        <v>106</v>
      </c>
    </row>
    <row r="25" spans="1:5" x14ac:dyDescent="0.3">
      <c r="A25" s="9">
        <v>45824</v>
      </c>
      <c r="B25" s="44" t="str">
        <f t="shared" si="0"/>
        <v>2025.25</v>
      </c>
      <c r="C25" s="11">
        <v>95</v>
      </c>
      <c r="D25" s="34">
        <v>50</v>
      </c>
      <c r="E25" s="44" t="s">
        <v>106</v>
      </c>
    </row>
    <row r="26" spans="1:5" x14ac:dyDescent="0.3">
      <c r="A26" s="9">
        <v>45839</v>
      </c>
      <c r="B26" s="44" t="str">
        <f t="shared" si="0"/>
        <v>2025.27</v>
      </c>
      <c r="C26" s="11">
        <v>92</v>
      </c>
      <c r="D26" s="34">
        <v>50</v>
      </c>
      <c r="E26" s="44" t="s">
        <v>106</v>
      </c>
    </row>
    <row r="27" spans="1:5" x14ac:dyDescent="0.3">
      <c r="A27" s="9">
        <v>45846</v>
      </c>
      <c r="B27" s="44" t="str">
        <f t="shared" si="0"/>
        <v>2025.28</v>
      </c>
      <c r="C27" s="11">
        <v>91</v>
      </c>
      <c r="D27" s="34">
        <v>50</v>
      </c>
      <c r="E27" s="44" t="s">
        <v>106</v>
      </c>
    </row>
    <row r="28" spans="1:5" x14ac:dyDescent="0.3">
      <c r="A28" s="9">
        <v>45854</v>
      </c>
      <c r="B28" s="44" t="str">
        <f t="shared" si="0"/>
        <v>2025.29</v>
      </c>
      <c r="C28" s="11">
        <v>87</v>
      </c>
      <c r="D28" s="34">
        <v>50</v>
      </c>
      <c r="E28" s="44" t="s">
        <v>106</v>
      </c>
    </row>
    <row r="29" spans="1:5" x14ac:dyDescent="0.3">
      <c r="A29" s="9">
        <v>45860</v>
      </c>
      <c r="B29" s="44" t="str">
        <f t="shared" si="0"/>
        <v>2025.30</v>
      </c>
      <c r="C29" s="11">
        <v>92</v>
      </c>
      <c r="D29" s="34">
        <v>50</v>
      </c>
      <c r="E29" s="44" t="s">
        <v>106</v>
      </c>
    </row>
    <row r="30" spans="1:5" x14ac:dyDescent="0.3">
      <c r="A30" s="9">
        <v>45867</v>
      </c>
      <c r="B30" s="44" t="str">
        <f t="shared" si="0"/>
        <v>2025.31</v>
      </c>
      <c r="C30" s="11">
        <v>78</v>
      </c>
      <c r="D30" s="34">
        <v>50</v>
      </c>
      <c r="E30" s="44" t="s">
        <v>106</v>
      </c>
    </row>
    <row r="31" spans="1:5" x14ac:dyDescent="0.3">
      <c r="A31" s="9">
        <v>45874</v>
      </c>
      <c r="B31" s="44" t="str">
        <f t="shared" si="0"/>
        <v>2025.32</v>
      </c>
      <c r="C31" s="11">
        <v>77</v>
      </c>
      <c r="D31" s="34">
        <v>50</v>
      </c>
      <c r="E31" s="44" t="s">
        <v>106</v>
      </c>
    </row>
    <row r="32" spans="1:5" x14ac:dyDescent="0.3">
      <c r="A32" s="9">
        <v>45881</v>
      </c>
      <c r="B32" s="44" t="str">
        <f t="shared" si="0"/>
        <v>2025.33</v>
      </c>
      <c r="C32" s="11">
        <v>79</v>
      </c>
      <c r="D32" s="34">
        <v>50</v>
      </c>
      <c r="E32" s="44" t="s">
        <v>106</v>
      </c>
    </row>
    <row r="33" spans="1:5" x14ac:dyDescent="0.3">
      <c r="A33" s="9">
        <v>45887</v>
      </c>
      <c r="B33" s="44" t="str">
        <f t="shared" si="0"/>
        <v>2025.34</v>
      </c>
      <c r="C33" s="11">
        <v>78</v>
      </c>
      <c r="D33" s="34">
        <v>50</v>
      </c>
      <c r="E33" s="44" t="s">
        <v>106</v>
      </c>
    </row>
    <row r="34" spans="1:5" x14ac:dyDescent="0.3">
      <c r="A34" s="9">
        <v>45901</v>
      </c>
      <c r="B34" s="44" t="s">
        <v>3496</v>
      </c>
      <c r="C34" s="11">
        <v>96</v>
      </c>
      <c r="D34" s="34">
        <v>50</v>
      </c>
      <c r="E34" s="44" t="s">
        <v>106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DF60-7D6F-482B-A440-F0D06D7506E3}">
  <sheetPr codeName="Planilha6">
    <tabColor theme="6"/>
  </sheetPr>
  <dimension ref="A1:E36"/>
  <sheetViews>
    <sheetView workbookViewId="0">
      <pane ySplit="1" topLeftCell="A5" activePane="bottomLeft" state="frozen"/>
      <selection pane="bottomLeft" activeCell="H33" sqref="H33"/>
    </sheetView>
  </sheetViews>
  <sheetFormatPr defaultRowHeight="14.4" x14ac:dyDescent="0.3"/>
  <cols>
    <col min="1" max="1" width="10.33203125" bestFit="1" customWidth="1"/>
    <col min="2" max="2" width="7.5546875" bestFit="1" customWidth="1"/>
    <col min="3" max="3" width="13.6640625" customWidth="1"/>
    <col min="4" max="4" width="6.88671875" style="36" bestFit="1" customWidth="1"/>
    <col min="5" max="5" width="19" bestFit="1" customWidth="1"/>
  </cols>
  <sheetData>
    <row r="1" spans="1:5" x14ac:dyDescent="0.3">
      <c r="A1" s="13" t="s">
        <v>0</v>
      </c>
      <c r="B1" s="14" t="s">
        <v>17</v>
      </c>
      <c r="C1" s="15" t="s">
        <v>57</v>
      </c>
      <c r="D1" s="33" t="s">
        <v>33</v>
      </c>
      <c r="E1" s="33" t="s">
        <v>104</v>
      </c>
    </row>
    <row r="2" spans="1:5" s="12" customFormat="1" x14ac:dyDescent="0.3">
      <c r="A2" s="62">
        <f ca="1">TODAY()</f>
        <v>45901</v>
      </c>
      <c r="B2" s="63" t="str">
        <f ca="1">CONCATENATE(YEAR(A2),".",_xlfn.ISOWEEKNUM(A2))</f>
        <v>2025.36</v>
      </c>
      <c r="C2" s="61">
        <f>COUNTIF(BD_foco_vazamentos!J:J,"VAPOR")+COUNTIF(BD_foco_vazamentos!J:J,"CONDENSADO")</f>
        <v>43</v>
      </c>
      <c r="D2" s="61">
        <v>20</v>
      </c>
      <c r="E2" s="60" t="s">
        <v>106</v>
      </c>
    </row>
    <row r="3" spans="1:5" x14ac:dyDescent="0.3">
      <c r="A3" s="9">
        <v>45660</v>
      </c>
      <c r="B3" s="10" t="s">
        <v>34</v>
      </c>
      <c r="C3" s="11">
        <v>13</v>
      </c>
      <c r="D3" s="34">
        <v>20</v>
      </c>
      <c r="E3" s="44" t="s">
        <v>106</v>
      </c>
    </row>
    <row r="4" spans="1:5" x14ac:dyDescent="0.3">
      <c r="A4" s="9">
        <v>45663</v>
      </c>
      <c r="B4" s="10" t="s">
        <v>35</v>
      </c>
      <c r="C4" s="11">
        <v>14</v>
      </c>
      <c r="D4" s="34">
        <v>20</v>
      </c>
      <c r="E4" s="44" t="s">
        <v>106</v>
      </c>
    </row>
    <row r="5" spans="1:5" x14ac:dyDescent="0.3">
      <c r="A5" s="9">
        <v>45670</v>
      </c>
      <c r="B5" s="10" t="s">
        <v>36</v>
      </c>
      <c r="C5" s="11">
        <v>18</v>
      </c>
      <c r="D5" s="34">
        <v>20</v>
      </c>
      <c r="E5" s="44" t="s">
        <v>106</v>
      </c>
    </row>
    <row r="6" spans="1:5" x14ac:dyDescent="0.3">
      <c r="A6" s="9">
        <v>45677</v>
      </c>
      <c r="B6" s="10" t="s">
        <v>37</v>
      </c>
      <c r="C6" s="11">
        <v>18</v>
      </c>
      <c r="D6" s="34">
        <v>20</v>
      </c>
      <c r="E6" s="44" t="s">
        <v>106</v>
      </c>
    </row>
    <row r="7" spans="1:5" x14ac:dyDescent="0.3">
      <c r="A7" s="9">
        <v>45691</v>
      </c>
      <c r="B7" s="10" t="s">
        <v>39</v>
      </c>
      <c r="C7" s="11">
        <v>22</v>
      </c>
      <c r="D7" s="34">
        <v>20</v>
      </c>
      <c r="E7" s="44" t="s">
        <v>106</v>
      </c>
    </row>
    <row r="8" spans="1:5" x14ac:dyDescent="0.3">
      <c r="A8" s="9">
        <v>45700</v>
      </c>
      <c r="B8" s="10" t="s">
        <v>40</v>
      </c>
      <c r="C8" s="11">
        <v>22</v>
      </c>
      <c r="D8" s="34">
        <v>20</v>
      </c>
      <c r="E8" s="44" t="s">
        <v>106</v>
      </c>
    </row>
    <row r="9" spans="1:5" x14ac:dyDescent="0.3">
      <c r="A9" s="9">
        <v>45707</v>
      </c>
      <c r="B9" s="10" t="s">
        <v>27</v>
      </c>
      <c r="C9" s="11">
        <v>17</v>
      </c>
      <c r="D9" s="34">
        <v>20</v>
      </c>
      <c r="E9" s="44" t="s">
        <v>106</v>
      </c>
    </row>
    <row r="10" spans="1:5" x14ac:dyDescent="0.3">
      <c r="A10" s="9">
        <v>45712</v>
      </c>
      <c r="B10" s="10" t="s">
        <v>28</v>
      </c>
      <c r="C10" s="11">
        <v>17</v>
      </c>
      <c r="D10" s="34">
        <v>20</v>
      </c>
      <c r="E10" s="44" t="s">
        <v>106</v>
      </c>
    </row>
    <row r="11" spans="1:5" x14ac:dyDescent="0.3">
      <c r="A11" s="9">
        <v>45722</v>
      </c>
      <c r="B11" s="10" t="str">
        <f t="shared" ref="B11:B19" si="0">CONCATENATE(YEAR(A11),".",_xlfn.ISOWEEKNUM(A11))</f>
        <v>2025.10</v>
      </c>
      <c r="C11" s="11">
        <v>22</v>
      </c>
      <c r="D11" s="34">
        <v>20</v>
      </c>
      <c r="E11" s="44" t="s">
        <v>106</v>
      </c>
    </row>
    <row r="12" spans="1:5" x14ac:dyDescent="0.3">
      <c r="A12" s="9">
        <v>45726</v>
      </c>
      <c r="B12" s="10" t="str">
        <f t="shared" si="0"/>
        <v>2025.11</v>
      </c>
      <c r="C12" s="11">
        <v>22</v>
      </c>
      <c r="D12" s="34">
        <v>20</v>
      </c>
      <c r="E12" s="44" t="s">
        <v>106</v>
      </c>
    </row>
    <row r="13" spans="1:5" x14ac:dyDescent="0.3">
      <c r="A13" s="9">
        <v>45735</v>
      </c>
      <c r="B13" s="10" t="str">
        <f t="shared" si="0"/>
        <v>2025.12</v>
      </c>
      <c r="C13" s="11">
        <v>22</v>
      </c>
      <c r="D13" s="34">
        <v>20</v>
      </c>
      <c r="E13" s="44" t="s">
        <v>106</v>
      </c>
    </row>
    <row r="14" spans="1:5" x14ac:dyDescent="0.3">
      <c r="A14" s="9">
        <v>45742</v>
      </c>
      <c r="B14" s="10" t="str">
        <f t="shared" si="0"/>
        <v>2025.13</v>
      </c>
      <c r="C14" s="11">
        <v>22</v>
      </c>
      <c r="D14" s="34">
        <v>20</v>
      </c>
      <c r="E14" s="44" t="s">
        <v>106</v>
      </c>
    </row>
    <row r="15" spans="1:5" x14ac:dyDescent="0.3">
      <c r="A15" s="9">
        <v>45747</v>
      </c>
      <c r="B15" s="10" t="str">
        <f t="shared" si="0"/>
        <v>2025.14</v>
      </c>
      <c r="C15" s="11">
        <v>21</v>
      </c>
      <c r="D15" s="34">
        <v>20</v>
      </c>
      <c r="E15" s="44" t="s">
        <v>106</v>
      </c>
    </row>
    <row r="16" spans="1:5" x14ac:dyDescent="0.3">
      <c r="A16" s="9">
        <v>45756</v>
      </c>
      <c r="B16" s="10" t="str">
        <f t="shared" si="0"/>
        <v>2025.15</v>
      </c>
      <c r="C16" s="11">
        <v>27</v>
      </c>
      <c r="D16" s="34">
        <v>20</v>
      </c>
      <c r="E16" s="44" t="s">
        <v>106</v>
      </c>
    </row>
    <row r="17" spans="1:5" x14ac:dyDescent="0.3">
      <c r="A17" s="9">
        <v>45763</v>
      </c>
      <c r="B17" s="10" t="str">
        <f t="shared" si="0"/>
        <v>2025.16</v>
      </c>
      <c r="C17" s="11">
        <v>28</v>
      </c>
      <c r="D17" s="34">
        <v>20</v>
      </c>
      <c r="E17" s="44" t="s">
        <v>106</v>
      </c>
    </row>
    <row r="18" spans="1:5" x14ac:dyDescent="0.3">
      <c r="A18" s="9">
        <v>45769</v>
      </c>
      <c r="B18" s="10" t="str">
        <f t="shared" si="0"/>
        <v>2025.17</v>
      </c>
      <c r="C18" s="11">
        <v>28</v>
      </c>
      <c r="D18" s="34">
        <v>20</v>
      </c>
      <c r="E18" s="44" t="s">
        <v>106</v>
      </c>
    </row>
    <row r="19" spans="1:5" x14ac:dyDescent="0.3">
      <c r="A19" s="9">
        <v>45776</v>
      </c>
      <c r="B19" s="10" t="str">
        <f t="shared" si="0"/>
        <v>2025.18</v>
      </c>
      <c r="C19" s="11">
        <v>28</v>
      </c>
      <c r="D19" s="34">
        <v>20</v>
      </c>
      <c r="E19" s="44" t="s">
        <v>106</v>
      </c>
    </row>
    <row r="20" spans="1:5" x14ac:dyDescent="0.3">
      <c r="A20" s="9">
        <v>45782</v>
      </c>
      <c r="B20" s="10" t="str">
        <f t="shared" ref="B20:B25" si="1">CONCATENATE(YEAR(A20),".",_xlfn.ISOWEEKNUM(A20))</f>
        <v>2025.19</v>
      </c>
      <c r="C20" s="11">
        <v>36</v>
      </c>
      <c r="D20" s="34">
        <v>20</v>
      </c>
      <c r="E20" s="44" t="s">
        <v>106</v>
      </c>
    </row>
    <row r="21" spans="1:5" x14ac:dyDescent="0.3">
      <c r="A21" s="9">
        <v>45789</v>
      </c>
      <c r="B21" s="10" t="str">
        <f t="shared" si="1"/>
        <v>2025.20</v>
      </c>
      <c r="C21" s="11">
        <v>39</v>
      </c>
      <c r="D21" s="34">
        <v>20</v>
      </c>
      <c r="E21" s="44" t="s">
        <v>106</v>
      </c>
    </row>
    <row r="22" spans="1:5" x14ac:dyDescent="0.3">
      <c r="A22" s="9">
        <v>45804</v>
      </c>
      <c r="B22" s="10" t="str">
        <f t="shared" si="1"/>
        <v>2025.22</v>
      </c>
      <c r="C22" s="11">
        <v>39</v>
      </c>
      <c r="D22" s="34">
        <v>20</v>
      </c>
      <c r="E22" s="44" t="s">
        <v>106</v>
      </c>
    </row>
    <row r="23" spans="1:5" x14ac:dyDescent="0.3">
      <c r="A23" s="9">
        <v>45811</v>
      </c>
      <c r="B23" s="10" t="str">
        <f t="shared" si="1"/>
        <v>2025.23</v>
      </c>
      <c r="C23" s="11">
        <v>45</v>
      </c>
      <c r="D23" s="34">
        <v>20</v>
      </c>
      <c r="E23" s="44" t="s">
        <v>106</v>
      </c>
    </row>
    <row r="24" spans="1:5" x14ac:dyDescent="0.3">
      <c r="A24" s="9">
        <v>45818</v>
      </c>
      <c r="B24" s="10" t="str">
        <f t="shared" si="1"/>
        <v>2025.24</v>
      </c>
      <c r="C24" s="11">
        <v>45</v>
      </c>
      <c r="D24" s="34">
        <v>20</v>
      </c>
      <c r="E24" s="44" t="s">
        <v>106</v>
      </c>
    </row>
    <row r="25" spans="1:5" x14ac:dyDescent="0.3">
      <c r="A25" s="9">
        <v>45824</v>
      </c>
      <c r="B25" s="10" t="str">
        <f t="shared" si="1"/>
        <v>2025.25</v>
      </c>
      <c r="C25" s="11">
        <v>48</v>
      </c>
      <c r="D25" s="34">
        <v>20</v>
      </c>
      <c r="E25" s="44" t="s">
        <v>106</v>
      </c>
    </row>
    <row r="26" spans="1:5" x14ac:dyDescent="0.3">
      <c r="A26" s="9">
        <v>45832</v>
      </c>
      <c r="B26" s="10" t="s">
        <v>129</v>
      </c>
      <c r="C26" s="11">
        <v>45</v>
      </c>
      <c r="D26" s="34">
        <v>20</v>
      </c>
      <c r="E26" s="44" t="s">
        <v>106</v>
      </c>
    </row>
    <row r="27" spans="1:5" x14ac:dyDescent="0.3">
      <c r="A27" s="9">
        <v>45839</v>
      </c>
      <c r="B27" s="10" t="s">
        <v>130</v>
      </c>
      <c r="C27" s="11">
        <v>43</v>
      </c>
      <c r="D27" s="34">
        <v>20</v>
      </c>
      <c r="E27" s="44" t="s">
        <v>106</v>
      </c>
    </row>
    <row r="28" spans="1:5" x14ac:dyDescent="0.3">
      <c r="A28" s="9">
        <v>45846</v>
      </c>
      <c r="B28" s="10" t="s">
        <v>131</v>
      </c>
      <c r="C28" s="11">
        <v>42</v>
      </c>
      <c r="D28" s="34">
        <v>20</v>
      </c>
      <c r="E28" s="44" t="s">
        <v>106</v>
      </c>
    </row>
    <row r="29" spans="1:5" x14ac:dyDescent="0.3">
      <c r="A29" s="9">
        <v>45854</v>
      </c>
      <c r="B29" s="10" t="s">
        <v>132</v>
      </c>
      <c r="C29" s="11">
        <v>42</v>
      </c>
      <c r="D29" s="34">
        <v>20</v>
      </c>
      <c r="E29" s="44" t="s">
        <v>106</v>
      </c>
    </row>
    <row r="30" spans="1:5" x14ac:dyDescent="0.3">
      <c r="A30" s="9">
        <v>45860</v>
      </c>
      <c r="B30" s="10" t="s">
        <v>134</v>
      </c>
      <c r="C30" s="11">
        <v>48</v>
      </c>
      <c r="D30" s="34">
        <v>20</v>
      </c>
      <c r="E30" s="44" t="s">
        <v>106</v>
      </c>
    </row>
    <row r="31" spans="1:5" x14ac:dyDescent="0.3">
      <c r="A31" s="9">
        <v>45867</v>
      </c>
      <c r="B31" s="10" t="s">
        <v>135</v>
      </c>
      <c r="C31" s="11">
        <v>31</v>
      </c>
      <c r="D31" s="34">
        <v>20</v>
      </c>
      <c r="E31" s="44" t="s">
        <v>106</v>
      </c>
    </row>
    <row r="32" spans="1:5" x14ac:dyDescent="0.3">
      <c r="A32" s="9">
        <v>45874</v>
      </c>
      <c r="B32" s="10" t="s">
        <v>136</v>
      </c>
      <c r="C32" s="11">
        <v>32</v>
      </c>
      <c r="D32" s="34">
        <v>20</v>
      </c>
      <c r="E32" s="44" t="s">
        <v>106</v>
      </c>
    </row>
    <row r="33" spans="1:5" x14ac:dyDescent="0.3">
      <c r="A33" s="9">
        <v>45881</v>
      </c>
      <c r="B33" s="10" t="s">
        <v>136</v>
      </c>
      <c r="C33" s="11">
        <v>33</v>
      </c>
      <c r="D33" s="34">
        <v>20</v>
      </c>
      <c r="E33" s="44" t="s">
        <v>106</v>
      </c>
    </row>
    <row r="34" spans="1:5" x14ac:dyDescent="0.3">
      <c r="A34" s="9">
        <v>45887</v>
      </c>
      <c r="B34" s="10" t="s">
        <v>137</v>
      </c>
      <c r="C34" s="11">
        <v>35</v>
      </c>
      <c r="D34" s="34">
        <v>20</v>
      </c>
      <c r="E34" s="44" t="s">
        <v>106</v>
      </c>
    </row>
    <row r="35" spans="1:5" x14ac:dyDescent="0.3">
      <c r="A35" s="9">
        <v>45895</v>
      </c>
      <c r="B35" s="10" t="s">
        <v>137</v>
      </c>
      <c r="C35" s="11">
        <v>34</v>
      </c>
      <c r="D35" s="34">
        <v>20</v>
      </c>
      <c r="E35" s="44" t="s">
        <v>106</v>
      </c>
    </row>
    <row r="36" spans="1:5" x14ac:dyDescent="0.3">
      <c r="A36" s="9">
        <v>45901</v>
      </c>
      <c r="B36" s="10" t="s">
        <v>3496</v>
      </c>
      <c r="C36" s="11">
        <v>43</v>
      </c>
      <c r="D36" s="34">
        <v>20</v>
      </c>
      <c r="E36" s="44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6873-1C11-4CF9-A40A-472E5ABA10EA}">
  <sheetPr codeName="Planilha7">
    <tabColor theme="6"/>
  </sheetPr>
  <dimension ref="A1:E7"/>
  <sheetViews>
    <sheetView workbookViewId="0">
      <selection activeCell="A8" sqref="A8"/>
    </sheetView>
  </sheetViews>
  <sheetFormatPr defaultRowHeight="14.4" x14ac:dyDescent="0.3"/>
  <cols>
    <col min="1" max="1" width="10.33203125" bestFit="1" customWidth="1"/>
    <col min="3" max="3" width="17.6640625" bestFit="1" customWidth="1"/>
    <col min="4" max="4" width="24.5546875" customWidth="1"/>
    <col min="5" max="5" width="25.6640625" customWidth="1"/>
  </cols>
  <sheetData>
    <row r="1" spans="1:5" x14ac:dyDescent="0.3">
      <c r="A1" s="13" t="s">
        <v>0</v>
      </c>
      <c r="B1" s="43" t="s">
        <v>17</v>
      </c>
      <c r="C1" s="15" t="s">
        <v>110</v>
      </c>
      <c r="D1" s="33" t="s">
        <v>33</v>
      </c>
      <c r="E1" s="33" t="s">
        <v>104</v>
      </c>
    </row>
    <row r="2" spans="1:5" x14ac:dyDescent="0.3">
      <c r="A2" s="9">
        <v>45658</v>
      </c>
      <c r="B2" s="44" t="s">
        <v>34</v>
      </c>
      <c r="C2" s="19">
        <v>0.82889999999999997</v>
      </c>
      <c r="D2" s="17">
        <v>0.9</v>
      </c>
      <c r="E2" s="44" t="s">
        <v>105</v>
      </c>
    </row>
    <row r="3" spans="1:5" x14ac:dyDescent="0.3">
      <c r="A3" s="9">
        <v>45689</v>
      </c>
      <c r="B3" s="44" t="s">
        <v>35</v>
      </c>
      <c r="C3" s="19">
        <v>0.83160000000000001</v>
      </c>
      <c r="D3" s="17">
        <v>0.9</v>
      </c>
      <c r="E3" s="44" t="s">
        <v>105</v>
      </c>
    </row>
    <row r="4" spans="1:5" x14ac:dyDescent="0.3">
      <c r="A4" s="9">
        <v>45717</v>
      </c>
      <c r="B4" s="44" t="s">
        <v>36</v>
      </c>
      <c r="C4" s="19">
        <v>0.83289999999999997</v>
      </c>
      <c r="D4" s="17">
        <v>0.9</v>
      </c>
      <c r="E4" s="44" t="s">
        <v>105</v>
      </c>
    </row>
    <row r="5" spans="1:5" x14ac:dyDescent="0.3">
      <c r="A5" s="9">
        <v>45748</v>
      </c>
      <c r="B5" s="44" t="s">
        <v>37</v>
      </c>
      <c r="C5" s="19">
        <v>0.87139999999999995</v>
      </c>
      <c r="D5" s="17">
        <v>0.9</v>
      </c>
      <c r="E5" s="44" t="s">
        <v>105</v>
      </c>
    </row>
    <row r="6" spans="1:5" x14ac:dyDescent="0.3">
      <c r="A6" s="6">
        <v>45778</v>
      </c>
      <c r="B6" s="44" t="s">
        <v>38</v>
      </c>
      <c r="C6" s="19">
        <v>0.87139999999999995</v>
      </c>
      <c r="D6" s="17">
        <v>0.9</v>
      </c>
      <c r="E6" s="44" t="s">
        <v>105</v>
      </c>
    </row>
    <row r="7" spans="1:5" x14ac:dyDescent="0.3">
      <c r="A7" s="6">
        <v>45854</v>
      </c>
      <c r="B7" s="52" t="s">
        <v>39</v>
      </c>
      <c r="C7" s="19">
        <v>0.87139999999999995</v>
      </c>
      <c r="D7" s="17">
        <v>0.9</v>
      </c>
      <c r="E7" s="44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A4FF-9A02-4A7E-A1AD-29E65AF16995}">
  <sheetPr codeName="Planilha8">
    <tabColor theme="4"/>
  </sheetPr>
  <dimension ref="A1:F65"/>
  <sheetViews>
    <sheetView tabSelected="1" workbookViewId="0">
      <pane ySplit="1" topLeftCell="A53" activePane="bottomLeft" state="frozen"/>
      <selection pane="bottomLeft" activeCell="E66" sqref="E66"/>
    </sheetView>
  </sheetViews>
  <sheetFormatPr defaultRowHeight="14.4" x14ac:dyDescent="0.3"/>
  <cols>
    <col min="1" max="1" width="9.109375" bestFit="1" customWidth="1"/>
    <col min="2" max="2" width="20.33203125" style="8" bestFit="1" customWidth="1"/>
    <col min="3" max="3" width="23.33203125" bestFit="1" customWidth="1"/>
    <col min="4" max="5" width="23.33203125" customWidth="1"/>
    <col min="6" max="6" width="7.88671875" bestFit="1" customWidth="1"/>
  </cols>
  <sheetData>
    <row r="1" spans="1:6" x14ac:dyDescent="0.3">
      <c r="A1" s="14" t="s">
        <v>17</v>
      </c>
      <c r="B1" s="15" t="s">
        <v>58</v>
      </c>
      <c r="C1" s="15" t="s">
        <v>59</v>
      </c>
      <c r="D1" s="15" t="s">
        <v>90</v>
      </c>
      <c r="E1" s="15" t="s">
        <v>91</v>
      </c>
      <c r="F1" s="26" t="s">
        <v>33</v>
      </c>
    </row>
    <row r="2" spans="1:6" x14ac:dyDescent="0.3">
      <c r="A2" s="10" t="s">
        <v>60</v>
      </c>
      <c r="B2" s="11">
        <v>328</v>
      </c>
      <c r="C2" s="11">
        <v>58</v>
      </c>
      <c r="D2" s="19">
        <v>0.17682926829268292</v>
      </c>
      <c r="E2" s="19">
        <v>0.94710000000000005</v>
      </c>
      <c r="F2" s="27">
        <v>1</v>
      </c>
    </row>
    <row r="3" spans="1:6" x14ac:dyDescent="0.3">
      <c r="A3" s="10" t="s">
        <v>61</v>
      </c>
      <c r="B3" s="11">
        <v>517</v>
      </c>
      <c r="C3" s="11">
        <v>57</v>
      </c>
      <c r="D3" s="19">
        <v>0.1102514506769826</v>
      </c>
      <c r="E3" s="19">
        <v>1.0839000000000001</v>
      </c>
      <c r="F3" s="27">
        <v>1</v>
      </c>
    </row>
    <row r="4" spans="1:6" x14ac:dyDescent="0.3">
      <c r="A4" s="10" t="s">
        <v>62</v>
      </c>
      <c r="B4" s="11">
        <v>757</v>
      </c>
      <c r="C4" s="11">
        <v>55</v>
      </c>
      <c r="D4" s="19">
        <v>7.2655217965653898E-2</v>
      </c>
      <c r="E4" s="19">
        <v>1.0996999999999999</v>
      </c>
      <c r="F4" s="27">
        <v>1</v>
      </c>
    </row>
    <row r="5" spans="1:6" x14ac:dyDescent="0.3">
      <c r="A5" s="10" t="s">
        <v>63</v>
      </c>
      <c r="B5" s="11">
        <v>746</v>
      </c>
      <c r="C5" s="11">
        <v>78</v>
      </c>
      <c r="D5" s="19">
        <v>0.10455764075067024</v>
      </c>
      <c r="E5" s="19">
        <v>1.0649</v>
      </c>
      <c r="F5" s="27">
        <v>1</v>
      </c>
    </row>
    <row r="6" spans="1:6" x14ac:dyDescent="0.3">
      <c r="A6" s="10" t="s">
        <v>64</v>
      </c>
      <c r="B6" s="11">
        <v>680</v>
      </c>
      <c r="C6" s="11">
        <v>82</v>
      </c>
      <c r="D6" s="19">
        <v>0.12058823529411765</v>
      </c>
      <c r="E6" s="19">
        <v>1.0261</v>
      </c>
      <c r="F6" s="27">
        <v>1</v>
      </c>
    </row>
    <row r="7" spans="1:6" x14ac:dyDescent="0.3">
      <c r="A7" s="10" t="s">
        <v>65</v>
      </c>
      <c r="B7" s="11">
        <v>611</v>
      </c>
      <c r="C7" s="11">
        <v>74</v>
      </c>
      <c r="D7" s="19">
        <v>0.12111292962356793</v>
      </c>
      <c r="E7" s="19">
        <v>1.1081000000000001</v>
      </c>
      <c r="F7" s="27">
        <v>1</v>
      </c>
    </row>
    <row r="8" spans="1:6" x14ac:dyDescent="0.3">
      <c r="A8" s="10" t="s">
        <v>66</v>
      </c>
      <c r="B8" s="11">
        <v>681</v>
      </c>
      <c r="C8" s="11">
        <v>72</v>
      </c>
      <c r="D8" s="19">
        <v>0.10572687224669604</v>
      </c>
      <c r="E8" s="19">
        <v>1.0814999999999999</v>
      </c>
      <c r="F8" s="27">
        <v>1</v>
      </c>
    </row>
    <row r="9" spans="1:6" x14ac:dyDescent="0.3">
      <c r="A9" s="10" t="s">
        <v>67</v>
      </c>
      <c r="B9" s="11">
        <v>829</v>
      </c>
      <c r="C9" s="11">
        <v>88</v>
      </c>
      <c r="D9" s="19">
        <v>0.10615199034981906</v>
      </c>
      <c r="E9" s="19">
        <v>1.0578000000000001</v>
      </c>
      <c r="F9" s="27">
        <v>1</v>
      </c>
    </row>
    <row r="10" spans="1:6" x14ac:dyDescent="0.3">
      <c r="A10" s="10" t="s">
        <v>68</v>
      </c>
      <c r="B10" s="11">
        <v>695</v>
      </c>
      <c r="C10" s="11">
        <v>70</v>
      </c>
      <c r="D10" s="19">
        <v>0.10071942446043165</v>
      </c>
      <c r="E10" s="19">
        <v>0.89900000000000002</v>
      </c>
      <c r="F10" s="27">
        <v>1</v>
      </c>
    </row>
    <row r="11" spans="1:6" x14ac:dyDescent="0.3">
      <c r="A11" s="10" t="s">
        <v>69</v>
      </c>
      <c r="B11" s="11">
        <v>681</v>
      </c>
      <c r="C11" s="11">
        <v>134</v>
      </c>
      <c r="D11" s="19">
        <v>0.19676945668135096</v>
      </c>
      <c r="E11" s="19">
        <v>1.0512999999999999</v>
      </c>
      <c r="F11" s="27">
        <v>1</v>
      </c>
    </row>
    <row r="12" spans="1:6" x14ac:dyDescent="0.3">
      <c r="A12" s="10" t="s">
        <v>70</v>
      </c>
      <c r="B12" s="11">
        <v>811</v>
      </c>
      <c r="C12" s="11">
        <v>97</v>
      </c>
      <c r="D12" s="19">
        <v>0.11960542540073983</v>
      </c>
      <c r="E12" s="19">
        <v>1.0472999999999999</v>
      </c>
      <c r="F12" s="27">
        <v>1</v>
      </c>
    </row>
    <row r="13" spans="1:6" x14ac:dyDescent="0.3">
      <c r="A13" s="10" t="s">
        <v>71</v>
      </c>
      <c r="B13" s="11">
        <v>732</v>
      </c>
      <c r="C13" s="11">
        <v>103</v>
      </c>
      <c r="D13" s="19">
        <v>0.14071038251366119</v>
      </c>
      <c r="E13" s="19">
        <v>1.0706</v>
      </c>
      <c r="F13" s="27">
        <v>1</v>
      </c>
    </row>
    <row r="14" spans="1:6" x14ac:dyDescent="0.3">
      <c r="A14" s="10" t="s">
        <v>72</v>
      </c>
      <c r="B14" s="11">
        <v>809</v>
      </c>
      <c r="C14" s="11">
        <v>81</v>
      </c>
      <c r="D14" s="19">
        <v>0.10012360939431397</v>
      </c>
      <c r="E14" s="19">
        <v>1.0251999999999999</v>
      </c>
      <c r="F14" s="27">
        <v>1</v>
      </c>
    </row>
    <row r="15" spans="1:6" x14ac:dyDescent="0.3">
      <c r="A15" s="10" t="s">
        <v>73</v>
      </c>
      <c r="B15" s="11">
        <v>816</v>
      </c>
      <c r="C15" s="11">
        <v>88</v>
      </c>
      <c r="D15" s="19">
        <v>0.10784313725490197</v>
      </c>
      <c r="E15" s="19">
        <v>1.0785</v>
      </c>
      <c r="F15" s="27">
        <v>1</v>
      </c>
    </row>
    <row r="16" spans="1:6" x14ac:dyDescent="0.3">
      <c r="A16" s="10" t="s">
        <v>74</v>
      </c>
      <c r="B16" s="11">
        <v>616</v>
      </c>
      <c r="C16" s="11">
        <v>83</v>
      </c>
      <c r="D16" s="19">
        <v>0.13474025974025974</v>
      </c>
      <c r="E16" s="19">
        <v>1.0803</v>
      </c>
      <c r="F16" s="27">
        <v>1</v>
      </c>
    </row>
    <row r="17" spans="1:6" x14ac:dyDescent="0.3">
      <c r="A17" s="10" t="s">
        <v>75</v>
      </c>
      <c r="B17" s="11">
        <v>848</v>
      </c>
      <c r="C17" s="11">
        <v>32</v>
      </c>
      <c r="D17" s="19">
        <v>3.7735849056603772E-2</v>
      </c>
      <c r="E17" s="19">
        <v>1.0684</v>
      </c>
      <c r="F17" s="27">
        <v>1</v>
      </c>
    </row>
    <row r="18" spans="1:6" x14ac:dyDescent="0.3">
      <c r="A18" s="10" t="s">
        <v>76</v>
      </c>
      <c r="B18" s="11">
        <v>922</v>
      </c>
      <c r="C18" s="11">
        <v>65</v>
      </c>
      <c r="D18" s="19">
        <v>7.0498915401301515E-2</v>
      </c>
      <c r="E18" s="19">
        <v>1.0516000000000001</v>
      </c>
      <c r="F18" s="27">
        <v>1</v>
      </c>
    </row>
    <row r="19" spans="1:6" x14ac:dyDescent="0.3">
      <c r="A19" s="10" t="s">
        <v>77</v>
      </c>
      <c r="B19" s="11">
        <v>768</v>
      </c>
      <c r="C19" s="11">
        <v>57</v>
      </c>
      <c r="D19" s="19">
        <v>7.421875E-2</v>
      </c>
      <c r="E19" s="19">
        <v>1.0538000000000001</v>
      </c>
      <c r="F19" s="27">
        <v>1</v>
      </c>
    </row>
    <row r="20" spans="1:6" x14ac:dyDescent="0.3">
      <c r="A20" s="10" t="s">
        <v>78</v>
      </c>
      <c r="B20" s="11">
        <v>808</v>
      </c>
      <c r="C20" s="11">
        <v>53</v>
      </c>
      <c r="D20" s="19">
        <v>6.5594059405940597E-2</v>
      </c>
      <c r="E20" s="19">
        <v>1.0978000000000001</v>
      </c>
      <c r="F20" s="27">
        <v>1</v>
      </c>
    </row>
    <row r="21" spans="1:6" x14ac:dyDescent="0.3">
      <c r="A21" s="10" t="s">
        <v>79</v>
      </c>
      <c r="B21" s="11">
        <v>832</v>
      </c>
      <c r="C21" s="11">
        <v>60</v>
      </c>
      <c r="D21" s="19">
        <v>7.2115384615384609E-2</v>
      </c>
      <c r="E21" s="19">
        <v>1.0754999999999999</v>
      </c>
      <c r="F21" s="27">
        <v>1</v>
      </c>
    </row>
    <row r="22" spans="1:6" x14ac:dyDescent="0.3">
      <c r="A22" s="10" t="s">
        <v>80</v>
      </c>
      <c r="B22" s="11">
        <v>772</v>
      </c>
      <c r="C22" s="11">
        <v>27</v>
      </c>
      <c r="D22" s="19">
        <v>3.4974093264248704E-2</v>
      </c>
      <c r="E22" s="19">
        <v>1.0578000000000001</v>
      </c>
      <c r="F22" s="27">
        <v>1</v>
      </c>
    </row>
    <row r="23" spans="1:6" x14ac:dyDescent="0.3">
      <c r="A23" s="10" t="s">
        <v>81</v>
      </c>
      <c r="B23" s="11">
        <v>727</v>
      </c>
      <c r="C23" s="11">
        <v>47</v>
      </c>
      <c r="D23" s="19">
        <v>6.4649243466299869E-2</v>
      </c>
      <c r="E23" s="19">
        <v>1.0587</v>
      </c>
      <c r="F23" s="27">
        <v>1</v>
      </c>
    </row>
    <row r="24" spans="1:6" x14ac:dyDescent="0.3">
      <c r="A24" s="10" t="s">
        <v>82</v>
      </c>
      <c r="B24" s="11">
        <v>630</v>
      </c>
      <c r="C24" s="11">
        <v>35</v>
      </c>
      <c r="D24" s="19">
        <v>5.5555555555555552E-2</v>
      </c>
      <c r="E24" s="19">
        <v>1.0804</v>
      </c>
      <c r="F24" s="27">
        <v>1</v>
      </c>
    </row>
    <row r="25" spans="1:6" x14ac:dyDescent="0.3">
      <c r="A25" s="10" t="s">
        <v>83</v>
      </c>
      <c r="B25" s="11">
        <v>657</v>
      </c>
      <c r="C25" s="11">
        <v>16</v>
      </c>
      <c r="D25" s="19">
        <v>2.4353120243531201E-2</v>
      </c>
      <c r="E25" s="19">
        <v>1.0365</v>
      </c>
      <c r="F25" s="27">
        <v>1</v>
      </c>
    </row>
    <row r="26" spans="1:6" x14ac:dyDescent="0.3">
      <c r="A26" s="10" t="s">
        <v>84</v>
      </c>
      <c r="B26" s="11">
        <v>629</v>
      </c>
      <c r="C26" s="11">
        <v>19</v>
      </c>
      <c r="D26" s="19">
        <v>3.0206677265500796E-2</v>
      </c>
      <c r="E26" s="19">
        <v>1.0628</v>
      </c>
      <c r="F26" s="27">
        <v>1</v>
      </c>
    </row>
    <row r="27" spans="1:6" x14ac:dyDescent="0.3">
      <c r="A27" s="10" t="s">
        <v>85</v>
      </c>
      <c r="B27" s="11">
        <v>764</v>
      </c>
      <c r="C27" s="11">
        <v>50</v>
      </c>
      <c r="D27" s="19">
        <v>6.5445026178010471E-2</v>
      </c>
      <c r="E27" s="19">
        <v>1.0572999999999999</v>
      </c>
      <c r="F27" s="27">
        <v>1</v>
      </c>
    </row>
    <row r="28" spans="1:6" x14ac:dyDescent="0.3">
      <c r="A28" s="10" t="s">
        <v>86</v>
      </c>
      <c r="B28" s="11">
        <v>733</v>
      </c>
      <c r="C28" s="11">
        <v>48</v>
      </c>
      <c r="D28" s="19">
        <v>6.5484311050477487E-2</v>
      </c>
      <c r="E28" s="19">
        <v>1.0507</v>
      </c>
      <c r="F28" s="27">
        <v>1</v>
      </c>
    </row>
    <row r="29" spans="1:6" x14ac:dyDescent="0.3">
      <c r="A29" s="10" t="s">
        <v>87</v>
      </c>
      <c r="B29" s="11">
        <v>871</v>
      </c>
      <c r="C29" s="11">
        <v>81</v>
      </c>
      <c r="D29" s="19">
        <v>9.2996555683122845E-2</v>
      </c>
      <c r="E29" s="19">
        <v>1.0834999999999999</v>
      </c>
      <c r="F29" s="27">
        <v>1</v>
      </c>
    </row>
    <row r="30" spans="1:6" x14ac:dyDescent="0.3">
      <c r="A30" s="10" t="s">
        <v>88</v>
      </c>
      <c r="B30" s="11">
        <v>605</v>
      </c>
      <c r="C30" s="11">
        <v>41</v>
      </c>
      <c r="D30" s="19">
        <v>6.7768595041322308E-2</v>
      </c>
      <c r="E30" s="19">
        <v>1.0945</v>
      </c>
      <c r="F30" s="27">
        <v>1</v>
      </c>
    </row>
    <row r="31" spans="1:6" x14ac:dyDescent="0.3">
      <c r="A31" s="10" t="s">
        <v>89</v>
      </c>
      <c r="B31" s="11">
        <v>502</v>
      </c>
      <c r="C31" s="11">
        <v>14</v>
      </c>
      <c r="D31" s="19">
        <v>2.7888446215139442E-2</v>
      </c>
      <c r="E31" s="19">
        <v>1.0587</v>
      </c>
      <c r="F31" s="27">
        <v>1</v>
      </c>
    </row>
    <row r="32" spans="1:6" x14ac:dyDescent="0.3">
      <c r="A32" s="10" t="s">
        <v>34</v>
      </c>
      <c r="B32" s="11">
        <v>437</v>
      </c>
      <c r="C32" s="11">
        <v>37</v>
      </c>
      <c r="D32" s="19">
        <v>8.4668192219679639E-2</v>
      </c>
      <c r="E32" s="19">
        <v>1.0781000000000001</v>
      </c>
      <c r="F32" s="27">
        <v>1</v>
      </c>
    </row>
    <row r="33" spans="1:6" x14ac:dyDescent="0.3">
      <c r="A33" s="10" t="s">
        <v>35</v>
      </c>
      <c r="B33" s="11">
        <v>642</v>
      </c>
      <c r="C33" s="11">
        <v>49</v>
      </c>
      <c r="D33" s="19">
        <v>7.6323987538940805E-2</v>
      </c>
      <c r="E33" s="19">
        <v>1.0262</v>
      </c>
      <c r="F33" s="27">
        <v>1</v>
      </c>
    </row>
    <row r="34" spans="1:6" x14ac:dyDescent="0.3">
      <c r="A34" s="10" t="s">
        <v>36</v>
      </c>
      <c r="B34" s="11">
        <v>766</v>
      </c>
      <c r="C34" s="11">
        <v>42</v>
      </c>
      <c r="D34" s="19">
        <v>5.4830287206266322E-2</v>
      </c>
      <c r="E34" s="19">
        <v>1.0740000000000001</v>
      </c>
      <c r="F34" s="27">
        <v>1</v>
      </c>
    </row>
    <row r="35" spans="1:6" x14ac:dyDescent="0.3">
      <c r="A35" s="10" t="s">
        <v>37</v>
      </c>
      <c r="B35" s="11">
        <v>761</v>
      </c>
      <c r="C35" s="11">
        <v>61</v>
      </c>
      <c r="D35" s="19">
        <v>8.0157687253613663E-2</v>
      </c>
      <c r="E35" s="19">
        <v>1.0548999999999999</v>
      </c>
      <c r="F35" s="27">
        <v>1</v>
      </c>
    </row>
    <row r="36" spans="1:6" x14ac:dyDescent="0.3">
      <c r="A36" s="10" t="s">
        <v>38</v>
      </c>
      <c r="B36" s="11">
        <v>772</v>
      </c>
      <c r="C36" s="11">
        <v>60</v>
      </c>
      <c r="D36" s="19">
        <v>7.7720207253886009E-2</v>
      </c>
      <c r="E36" s="19">
        <v>1.0507</v>
      </c>
      <c r="F36" s="27">
        <v>1</v>
      </c>
    </row>
    <row r="37" spans="1:6" x14ac:dyDescent="0.3">
      <c r="A37" s="10" t="s">
        <v>39</v>
      </c>
      <c r="B37" s="11">
        <v>819</v>
      </c>
      <c r="C37" s="11">
        <v>25</v>
      </c>
      <c r="D37" s="19">
        <v>3.0525030525030524E-2</v>
      </c>
      <c r="E37" s="19">
        <v>1.0287999999999999</v>
      </c>
      <c r="F37" s="27">
        <v>1</v>
      </c>
    </row>
    <row r="38" spans="1:6" x14ac:dyDescent="0.3">
      <c r="A38" s="10" t="s">
        <v>40</v>
      </c>
      <c r="B38" s="11">
        <v>929</v>
      </c>
      <c r="C38" s="11">
        <v>30</v>
      </c>
      <c r="D38" s="19">
        <v>3.2292787944025833E-2</v>
      </c>
      <c r="E38" s="19">
        <v>1.0541</v>
      </c>
      <c r="F38" s="27">
        <v>1</v>
      </c>
    </row>
    <row r="39" spans="1:6" x14ac:dyDescent="0.3">
      <c r="A39" s="10" t="s">
        <v>27</v>
      </c>
      <c r="B39" s="11">
        <v>744</v>
      </c>
      <c r="C39" s="11">
        <v>23</v>
      </c>
      <c r="D39" s="19">
        <v>3.0913978494623656E-2</v>
      </c>
      <c r="E39" s="19">
        <v>1.046</v>
      </c>
      <c r="F39" s="27">
        <v>1</v>
      </c>
    </row>
    <row r="40" spans="1:6" x14ac:dyDescent="0.3">
      <c r="A40" s="10" t="s">
        <v>28</v>
      </c>
      <c r="B40" s="11">
        <v>849</v>
      </c>
      <c r="C40" s="11">
        <v>55</v>
      </c>
      <c r="D40" s="19">
        <v>6.4782096584216728E-2</v>
      </c>
      <c r="E40" s="19">
        <v>1.0813999999999999</v>
      </c>
      <c r="F40" s="27">
        <v>1</v>
      </c>
    </row>
    <row r="41" spans="1:6" x14ac:dyDescent="0.3">
      <c r="A41" s="10" t="s">
        <v>18</v>
      </c>
      <c r="B41" s="11">
        <v>726</v>
      </c>
      <c r="C41" s="11">
        <v>21</v>
      </c>
      <c r="D41" s="19">
        <v>2.8925619834710745E-2</v>
      </c>
      <c r="E41" s="19">
        <v>1.0547</v>
      </c>
      <c r="F41" s="27">
        <v>1</v>
      </c>
    </row>
    <row r="42" spans="1:6" x14ac:dyDescent="0.3">
      <c r="A42" s="10" t="s">
        <v>19</v>
      </c>
      <c r="B42" s="11">
        <v>367</v>
      </c>
      <c r="C42" s="11">
        <v>21</v>
      </c>
      <c r="D42" s="19">
        <v>5.7220708446866483E-2</v>
      </c>
      <c r="E42" s="19">
        <v>1.0213000000000001</v>
      </c>
      <c r="F42" s="27">
        <v>1</v>
      </c>
    </row>
    <row r="43" spans="1:6" x14ac:dyDescent="0.3">
      <c r="A43" s="10" t="s">
        <v>20</v>
      </c>
      <c r="B43" s="11">
        <v>912</v>
      </c>
      <c r="C43" s="11">
        <v>55</v>
      </c>
      <c r="D43" s="19">
        <v>6.0307017543859649E-2</v>
      </c>
      <c r="E43" s="19">
        <v>1.0544</v>
      </c>
      <c r="F43" s="27">
        <v>1</v>
      </c>
    </row>
    <row r="44" spans="1:6" x14ac:dyDescent="0.3">
      <c r="A44" s="10" t="s">
        <v>21</v>
      </c>
      <c r="B44" s="11">
        <v>908</v>
      </c>
      <c r="C44" s="11">
        <v>42</v>
      </c>
      <c r="D44" s="19">
        <v>4.6255506607929514E-2</v>
      </c>
      <c r="E44" s="19">
        <v>1.05</v>
      </c>
      <c r="F44" s="27">
        <v>1</v>
      </c>
    </row>
    <row r="45" spans="1:6" x14ac:dyDescent="0.3">
      <c r="A45" s="10" t="s">
        <v>22</v>
      </c>
      <c r="B45" s="11">
        <v>755</v>
      </c>
      <c r="C45" s="11">
        <v>107</v>
      </c>
      <c r="D45" s="19">
        <v>0.14172185430463577</v>
      </c>
      <c r="E45" s="19">
        <v>1.0286999999999999</v>
      </c>
      <c r="F45" s="27">
        <v>1</v>
      </c>
    </row>
    <row r="46" spans="1:6" x14ac:dyDescent="0.3">
      <c r="A46" s="10" t="s">
        <v>23</v>
      </c>
      <c r="B46" s="11">
        <v>765</v>
      </c>
      <c r="C46" s="11">
        <v>64</v>
      </c>
      <c r="D46" s="19">
        <v>8.3660130718954243E-2</v>
      </c>
      <c r="E46" s="19">
        <v>1.0306999999999999</v>
      </c>
      <c r="F46" s="27">
        <v>1</v>
      </c>
    </row>
    <row r="47" spans="1:6" x14ac:dyDescent="0.3">
      <c r="A47" s="10" t="s">
        <v>24</v>
      </c>
      <c r="B47" s="11">
        <v>713</v>
      </c>
      <c r="C47" s="11">
        <v>59</v>
      </c>
      <c r="D47" s="19">
        <v>8.2748948106591863E-2</v>
      </c>
      <c r="E47" s="19">
        <v>1.0244</v>
      </c>
      <c r="F47" s="27">
        <v>1</v>
      </c>
    </row>
    <row r="48" spans="1:6" x14ac:dyDescent="0.3">
      <c r="A48" s="10" t="s">
        <v>25</v>
      </c>
      <c r="B48" s="11">
        <v>650</v>
      </c>
      <c r="C48" s="11">
        <v>36</v>
      </c>
      <c r="D48" s="19">
        <v>5.5384615384615386E-2</v>
      </c>
      <c r="E48" s="19">
        <v>1.0118</v>
      </c>
      <c r="F48" s="27">
        <v>1</v>
      </c>
    </row>
    <row r="49" spans="1:6" x14ac:dyDescent="0.3">
      <c r="A49" s="10" t="s">
        <v>26</v>
      </c>
      <c r="B49" s="11">
        <v>528</v>
      </c>
      <c r="C49" s="11">
        <v>35</v>
      </c>
      <c r="D49" s="19">
        <f t="shared" ref="D49:D65" si="0">C49/B49</f>
        <v>6.6287878787878785E-2</v>
      </c>
      <c r="E49" s="19">
        <v>1.0531999999999999</v>
      </c>
      <c r="F49" s="27">
        <v>1</v>
      </c>
    </row>
    <row r="50" spans="1:6" x14ac:dyDescent="0.3">
      <c r="A50" s="10" t="s">
        <v>41</v>
      </c>
      <c r="B50" s="11">
        <v>747</v>
      </c>
      <c r="C50" s="11">
        <v>56</v>
      </c>
      <c r="D50" s="19">
        <f t="shared" si="0"/>
        <v>7.4966532797858101E-2</v>
      </c>
      <c r="E50" s="19">
        <v>1.0851</v>
      </c>
      <c r="F50" s="27">
        <v>1</v>
      </c>
    </row>
    <row r="51" spans="1:6" x14ac:dyDescent="0.3">
      <c r="A51" s="10" t="s">
        <v>109</v>
      </c>
      <c r="B51" s="11">
        <v>718</v>
      </c>
      <c r="C51" s="11">
        <v>81</v>
      </c>
      <c r="D51" s="19">
        <f t="shared" si="0"/>
        <v>0.11281337047353761</v>
      </c>
      <c r="E51" s="19">
        <v>1.0506</v>
      </c>
      <c r="F51" s="27">
        <v>1</v>
      </c>
    </row>
    <row r="52" spans="1:6" x14ac:dyDescent="0.3">
      <c r="A52" s="10" t="s">
        <v>124</v>
      </c>
      <c r="B52" s="11">
        <v>737</v>
      </c>
      <c r="C52" s="11">
        <v>67</v>
      </c>
      <c r="D52" s="19">
        <f t="shared" si="0"/>
        <v>9.0909090909090912E-2</v>
      </c>
      <c r="E52" s="19">
        <v>1.0771999999999999</v>
      </c>
      <c r="F52" s="27">
        <v>1</v>
      </c>
    </row>
    <row r="53" spans="1:6" x14ac:dyDescent="0.3">
      <c r="A53" s="10" t="s">
        <v>125</v>
      </c>
      <c r="B53" s="11">
        <v>762</v>
      </c>
      <c r="C53" s="11">
        <v>83</v>
      </c>
      <c r="D53" s="19">
        <f t="shared" si="0"/>
        <v>0.1089238845144357</v>
      </c>
      <c r="E53" s="19">
        <v>1.0926</v>
      </c>
      <c r="F53" s="27">
        <v>1</v>
      </c>
    </row>
    <row r="54" spans="1:6" x14ac:dyDescent="0.3">
      <c r="A54" s="10" t="s">
        <v>126</v>
      </c>
      <c r="B54" s="11">
        <v>764</v>
      </c>
      <c r="C54" s="11">
        <v>79</v>
      </c>
      <c r="D54" s="19">
        <f t="shared" si="0"/>
        <v>0.10340314136125654</v>
      </c>
      <c r="E54" s="19">
        <v>1.06</v>
      </c>
      <c r="F54" s="27">
        <v>1</v>
      </c>
    </row>
    <row r="55" spans="1:6" x14ac:dyDescent="0.3">
      <c r="A55" s="10" t="s">
        <v>127</v>
      </c>
      <c r="B55" s="11">
        <v>824</v>
      </c>
      <c r="C55" s="11">
        <v>91</v>
      </c>
      <c r="D55" s="19">
        <f t="shared" si="0"/>
        <v>0.1104368932038835</v>
      </c>
      <c r="E55" s="19">
        <v>1.0406</v>
      </c>
      <c r="F55" s="27">
        <v>1</v>
      </c>
    </row>
    <row r="56" spans="1:6" x14ac:dyDescent="0.3">
      <c r="A56" s="10" t="s">
        <v>128</v>
      </c>
      <c r="B56" s="11">
        <v>677</v>
      </c>
      <c r="C56" s="11">
        <v>43</v>
      </c>
      <c r="D56" s="19">
        <f t="shared" si="0"/>
        <v>6.3515509601181686E-2</v>
      </c>
      <c r="E56" s="19">
        <v>1.0346</v>
      </c>
      <c r="F56" s="27">
        <v>1</v>
      </c>
    </row>
    <row r="57" spans="1:6" x14ac:dyDescent="0.3">
      <c r="A57" s="10" t="s">
        <v>129</v>
      </c>
      <c r="B57" s="11">
        <v>766</v>
      </c>
      <c r="C57" s="11">
        <v>76</v>
      </c>
      <c r="D57" s="19">
        <f t="shared" si="0"/>
        <v>9.921671018276762E-2</v>
      </c>
      <c r="E57" s="19">
        <v>1.0550999999999999</v>
      </c>
      <c r="F57" s="27">
        <v>1</v>
      </c>
    </row>
    <row r="58" spans="1:6" x14ac:dyDescent="0.3">
      <c r="A58" s="10" t="s">
        <v>130</v>
      </c>
      <c r="B58" s="11">
        <v>821</v>
      </c>
      <c r="C58" s="11">
        <v>85</v>
      </c>
      <c r="D58" s="19">
        <f t="shared" si="0"/>
        <v>0.10353227771010962</v>
      </c>
      <c r="E58" s="19">
        <v>1.0752999999999999</v>
      </c>
      <c r="F58" s="27">
        <v>1</v>
      </c>
    </row>
    <row r="59" spans="1:6" x14ac:dyDescent="0.3">
      <c r="A59" s="10" t="s">
        <v>131</v>
      </c>
      <c r="B59" s="11">
        <v>716</v>
      </c>
      <c r="C59" s="11">
        <v>43</v>
      </c>
      <c r="D59" s="19">
        <f t="shared" si="0"/>
        <v>6.0055865921787709E-2</v>
      </c>
      <c r="E59" s="19">
        <v>1.0567</v>
      </c>
      <c r="F59" s="27">
        <v>1</v>
      </c>
    </row>
    <row r="60" spans="1:6" x14ac:dyDescent="0.3">
      <c r="A60" s="10" t="s">
        <v>132</v>
      </c>
      <c r="B60" s="11">
        <v>794</v>
      </c>
      <c r="C60" s="11">
        <v>79</v>
      </c>
      <c r="D60" s="19">
        <f t="shared" si="0"/>
        <v>9.949622166246852E-2</v>
      </c>
      <c r="E60" s="19">
        <v>1.0731999999999999</v>
      </c>
      <c r="F60" s="27">
        <v>1</v>
      </c>
    </row>
    <row r="61" spans="1:6" x14ac:dyDescent="0.3">
      <c r="A61" s="10" t="s">
        <v>134</v>
      </c>
      <c r="B61" s="11">
        <v>756</v>
      </c>
      <c r="C61" s="11">
        <v>42</v>
      </c>
      <c r="D61" s="19">
        <f t="shared" si="0"/>
        <v>5.5555555555555552E-2</v>
      </c>
      <c r="E61" s="19">
        <v>1.0642</v>
      </c>
      <c r="F61" s="27">
        <v>1</v>
      </c>
    </row>
    <row r="62" spans="1:6" ht="15" customHeight="1" x14ac:dyDescent="0.3">
      <c r="A62" s="10" t="s">
        <v>135</v>
      </c>
      <c r="B62" s="11">
        <v>792</v>
      </c>
      <c r="C62" s="11">
        <v>46</v>
      </c>
      <c r="D62" s="19">
        <f t="shared" si="0"/>
        <v>5.808080808080808E-2</v>
      </c>
      <c r="E62" s="19">
        <v>1.0871999999999999</v>
      </c>
      <c r="F62" s="27">
        <v>1</v>
      </c>
    </row>
    <row r="63" spans="1:6" x14ac:dyDescent="0.3">
      <c r="A63" s="10" t="s">
        <v>136</v>
      </c>
      <c r="B63" s="11">
        <v>717</v>
      </c>
      <c r="C63" s="11">
        <v>69</v>
      </c>
      <c r="D63" s="19">
        <f t="shared" si="0"/>
        <v>9.6234309623430964E-2</v>
      </c>
      <c r="E63" s="19">
        <v>1.0593999999999999</v>
      </c>
      <c r="F63" s="27">
        <v>1</v>
      </c>
    </row>
    <row r="64" spans="1:6" x14ac:dyDescent="0.3">
      <c r="A64" s="10" t="s">
        <v>137</v>
      </c>
      <c r="B64" s="11">
        <v>756</v>
      </c>
      <c r="C64" s="11">
        <v>72</v>
      </c>
      <c r="D64" s="19">
        <f t="shared" si="0"/>
        <v>9.5238095238095233E-2</v>
      </c>
      <c r="E64" s="19">
        <v>1.0823</v>
      </c>
      <c r="F64" s="27">
        <v>1</v>
      </c>
    </row>
    <row r="65" spans="1:6" x14ac:dyDescent="0.3">
      <c r="A65" s="10" t="s">
        <v>138</v>
      </c>
      <c r="B65" s="11">
        <v>809</v>
      </c>
      <c r="C65" s="11">
        <v>44</v>
      </c>
      <c r="D65" s="19">
        <f t="shared" si="0"/>
        <v>5.4388133498145856E-2</v>
      </c>
      <c r="E65" s="19">
        <v>1.0658000000000001</v>
      </c>
      <c r="F65" s="27">
        <v>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B488-1F99-4BD2-ADE3-A0F970A1608D}">
  <sheetPr codeName="Planilha9">
    <tabColor theme="4"/>
  </sheetPr>
  <dimension ref="A1:H66"/>
  <sheetViews>
    <sheetView workbookViewId="0">
      <pane ySplit="1" topLeftCell="A47" activePane="bottomLeft" state="frozen"/>
      <selection pane="bottomLeft" activeCell="D73" sqref="D73"/>
    </sheetView>
  </sheetViews>
  <sheetFormatPr defaultRowHeight="14.4" x14ac:dyDescent="0.3"/>
  <cols>
    <col min="1" max="1" width="10.33203125" style="6" bestFit="1" customWidth="1"/>
    <col min="2" max="2" width="22.109375" bestFit="1" customWidth="1"/>
    <col min="3" max="5" width="23.33203125" bestFit="1" customWidth="1"/>
    <col min="6" max="6" width="23.33203125" customWidth="1"/>
    <col min="7" max="8" width="23.33203125" bestFit="1" customWidth="1"/>
  </cols>
  <sheetData>
    <row r="1" spans="1:8" x14ac:dyDescent="0.3">
      <c r="A1" s="13" t="s">
        <v>17</v>
      </c>
      <c r="B1" s="15" t="s">
        <v>11</v>
      </c>
      <c r="C1" s="15" t="s">
        <v>33</v>
      </c>
      <c r="D1" s="15" t="s">
        <v>94</v>
      </c>
      <c r="E1" s="15" t="s">
        <v>95</v>
      </c>
      <c r="F1" s="15" t="s">
        <v>96</v>
      </c>
      <c r="G1" s="15" t="s">
        <v>93</v>
      </c>
      <c r="H1" s="15" t="s">
        <v>92</v>
      </c>
    </row>
    <row r="2" spans="1:8" x14ac:dyDescent="0.3">
      <c r="A2" s="28" t="s">
        <v>60</v>
      </c>
      <c r="B2" s="11">
        <v>5.84</v>
      </c>
      <c r="C2" s="11">
        <v>10</v>
      </c>
      <c r="D2" s="11"/>
      <c r="E2" s="11"/>
      <c r="F2" s="11"/>
      <c r="G2" s="11"/>
      <c r="H2" s="11"/>
    </row>
    <row r="3" spans="1:8" x14ac:dyDescent="0.3">
      <c r="A3" s="28" t="s">
        <v>61</v>
      </c>
      <c r="B3" s="11">
        <v>5.84</v>
      </c>
      <c r="C3" s="11">
        <v>10</v>
      </c>
      <c r="D3" s="11"/>
      <c r="E3" s="11"/>
      <c r="F3" s="11"/>
      <c r="G3" s="11"/>
      <c r="H3" s="11"/>
    </row>
    <row r="4" spans="1:8" x14ac:dyDescent="0.3">
      <c r="A4" s="28" t="s">
        <v>62</v>
      </c>
      <c r="B4" s="11">
        <v>5.84</v>
      </c>
      <c r="C4" s="11">
        <v>10</v>
      </c>
      <c r="D4" s="11"/>
      <c r="E4" s="11"/>
      <c r="F4" s="11"/>
      <c r="G4" s="11"/>
      <c r="H4" s="11"/>
    </row>
    <row r="5" spans="1:8" x14ac:dyDescent="0.3">
      <c r="A5" s="28" t="s">
        <v>63</v>
      </c>
      <c r="B5" s="11">
        <v>5.84</v>
      </c>
      <c r="C5" s="11">
        <v>10</v>
      </c>
      <c r="D5" s="11"/>
      <c r="E5" s="11"/>
      <c r="F5" s="11"/>
      <c r="G5" s="11"/>
      <c r="H5" s="11"/>
    </row>
    <row r="6" spans="1:8" x14ac:dyDescent="0.3">
      <c r="A6" s="28" t="s">
        <v>64</v>
      </c>
      <c r="B6" s="11">
        <v>5.84</v>
      </c>
      <c r="C6" s="11">
        <v>10</v>
      </c>
      <c r="D6" s="11"/>
      <c r="E6" s="11"/>
      <c r="F6" s="11"/>
      <c r="G6" s="11"/>
      <c r="H6" s="11"/>
    </row>
    <row r="7" spans="1:8" x14ac:dyDescent="0.3">
      <c r="A7" s="28" t="s">
        <v>65</v>
      </c>
      <c r="B7" s="11">
        <v>12.36</v>
      </c>
      <c r="C7" s="11">
        <v>10</v>
      </c>
      <c r="D7" s="11"/>
      <c r="E7" s="11"/>
      <c r="F7" s="11"/>
      <c r="G7" s="11"/>
      <c r="H7" s="11"/>
    </row>
    <row r="8" spans="1:8" x14ac:dyDescent="0.3">
      <c r="A8" s="28" t="s">
        <v>66</v>
      </c>
      <c r="B8" s="11">
        <v>12.36</v>
      </c>
      <c r="C8" s="11">
        <v>10</v>
      </c>
      <c r="D8" s="11"/>
      <c r="E8" s="11"/>
      <c r="F8" s="11"/>
      <c r="G8" s="11"/>
      <c r="H8" s="11"/>
    </row>
    <row r="9" spans="1:8" x14ac:dyDescent="0.3">
      <c r="A9" s="28" t="s">
        <v>67</v>
      </c>
      <c r="B9" s="11">
        <v>12.36</v>
      </c>
      <c r="C9" s="11">
        <v>10</v>
      </c>
      <c r="D9" s="11"/>
      <c r="E9" s="11"/>
      <c r="F9" s="11"/>
      <c r="G9" s="11"/>
      <c r="H9" s="11"/>
    </row>
    <row r="10" spans="1:8" x14ac:dyDescent="0.3">
      <c r="A10" s="28" t="s">
        <v>68</v>
      </c>
      <c r="B10" s="11">
        <v>12.36</v>
      </c>
      <c r="C10" s="11">
        <v>10</v>
      </c>
      <c r="D10" s="11"/>
      <c r="E10" s="11"/>
      <c r="F10" s="11"/>
      <c r="G10" s="11"/>
      <c r="H10" s="11"/>
    </row>
    <row r="11" spans="1:8" x14ac:dyDescent="0.3">
      <c r="A11" s="28" t="s">
        <v>69</v>
      </c>
      <c r="B11" s="11">
        <v>5.0999999999999996</v>
      </c>
      <c r="C11" s="11">
        <v>10</v>
      </c>
      <c r="D11" s="11"/>
      <c r="E11" s="11"/>
      <c r="F11" s="11"/>
      <c r="G11" s="11"/>
      <c r="H11" s="11"/>
    </row>
    <row r="12" spans="1:8" x14ac:dyDescent="0.3">
      <c r="A12" s="28" t="s">
        <v>70</v>
      </c>
      <c r="B12" s="11">
        <v>5.0999999999999996</v>
      </c>
      <c r="C12" s="11">
        <v>10</v>
      </c>
      <c r="D12" s="11"/>
      <c r="E12" s="11"/>
      <c r="F12" s="11"/>
      <c r="G12" s="11"/>
      <c r="H12" s="11"/>
    </row>
    <row r="13" spans="1:8" x14ac:dyDescent="0.3">
      <c r="A13" s="28" t="s">
        <v>71</v>
      </c>
      <c r="B13" s="11">
        <v>5.0999999999999996</v>
      </c>
      <c r="C13" s="11">
        <v>10</v>
      </c>
      <c r="D13" s="11"/>
      <c r="E13" s="11"/>
      <c r="F13" s="11"/>
      <c r="G13" s="11"/>
      <c r="H13" s="11"/>
    </row>
    <row r="14" spans="1:8" x14ac:dyDescent="0.3">
      <c r="A14" s="28" t="s">
        <v>72</v>
      </c>
      <c r="B14" s="11">
        <v>5.0999999999999996</v>
      </c>
      <c r="C14" s="11">
        <v>10</v>
      </c>
      <c r="D14" s="11"/>
      <c r="E14" s="11"/>
      <c r="F14" s="11"/>
      <c r="G14" s="11"/>
      <c r="H14" s="11"/>
    </row>
    <row r="15" spans="1:8" x14ac:dyDescent="0.3">
      <c r="A15" s="28" t="s">
        <v>73</v>
      </c>
      <c r="B15" s="11">
        <v>5.0999999999999996</v>
      </c>
      <c r="C15" s="11">
        <v>10</v>
      </c>
      <c r="D15" s="11"/>
      <c r="E15" s="11"/>
      <c r="F15" s="11"/>
      <c r="G15" s="11"/>
      <c r="H15" s="11"/>
    </row>
    <row r="16" spans="1:8" x14ac:dyDescent="0.3">
      <c r="A16" s="28" t="s">
        <v>74</v>
      </c>
      <c r="B16" s="11">
        <v>5.13</v>
      </c>
      <c r="C16" s="11">
        <v>10</v>
      </c>
      <c r="D16" s="11"/>
      <c r="E16" s="11"/>
      <c r="F16" s="11"/>
      <c r="G16" s="11"/>
      <c r="H16" s="11"/>
    </row>
    <row r="17" spans="1:8" x14ac:dyDescent="0.3">
      <c r="A17" s="28" t="s">
        <v>75</v>
      </c>
      <c r="B17" s="11">
        <v>5.13</v>
      </c>
      <c r="C17" s="11">
        <v>10</v>
      </c>
      <c r="D17" s="11"/>
      <c r="E17" s="11"/>
      <c r="F17" s="11"/>
      <c r="G17" s="11"/>
      <c r="H17" s="11"/>
    </row>
    <row r="18" spans="1:8" x14ac:dyDescent="0.3">
      <c r="A18" s="28" t="s">
        <v>76</v>
      </c>
      <c r="B18" s="11">
        <v>5.13</v>
      </c>
      <c r="C18" s="11">
        <v>10</v>
      </c>
      <c r="D18" s="11"/>
      <c r="E18" s="11"/>
      <c r="F18" s="11"/>
      <c r="G18" s="11"/>
      <c r="H18" s="11"/>
    </row>
    <row r="19" spans="1:8" x14ac:dyDescent="0.3">
      <c r="A19" s="28" t="s">
        <v>77</v>
      </c>
      <c r="B19" s="11">
        <v>5.13</v>
      </c>
      <c r="C19" s="11">
        <v>10</v>
      </c>
      <c r="D19" s="11"/>
      <c r="E19" s="11"/>
      <c r="F19" s="11"/>
      <c r="G19" s="11"/>
      <c r="H19" s="11"/>
    </row>
    <row r="20" spans="1:8" x14ac:dyDescent="0.3">
      <c r="A20" s="28" t="s">
        <v>78</v>
      </c>
      <c r="B20" s="11">
        <v>4.8600000000000003</v>
      </c>
      <c r="C20" s="11">
        <v>10</v>
      </c>
      <c r="D20" s="11"/>
      <c r="E20" s="11"/>
      <c r="F20" s="11"/>
      <c r="G20" s="11"/>
      <c r="H20" s="11"/>
    </row>
    <row r="21" spans="1:8" x14ac:dyDescent="0.3">
      <c r="A21" s="28" t="s">
        <v>79</v>
      </c>
      <c r="B21" s="11">
        <v>4.43</v>
      </c>
      <c r="C21" s="11">
        <v>10</v>
      </c>
      <c r="D21" s="11"/>
      <c r="E21" s="11"/>
      <c r="F21" s="11"/>
      <c r="G21" s="11"/>
      <c r="H21" s="11"/>
    </row>
    <row r="22" spans="1:8" x14ac:dyDescent="0.3">
      <c r="A22" s="28" t="s">
        <v>80</v>
      </c>
      <c r="B22" s="11">
        <v>3.85</v>
      </c>
      <c r="C22" s="11">
        <v>10</v>
      </c>
      <c r="D22" s="11"/>
      <c r="E22" s="11"/>
      <c r="F22" s="11"/>
      <c r="G22" s="11"/>
      <c r="H22" s="11"/>
    </row>
    <row r="23" spans="1:8" x14ac:dyDescent="0.3">
      <c r="A23" s="28" t="s">
        <v>81</v>
      </c>
      <c r="B23" s="11">
        <v>3.77</v>
      </c>
      <c r="C23" s="11">
        <v>10</v>
      </c>
      <c r="D23" s="11"/>
      <c r="E23" s="11"/>
      <c r="F23" s="11"/>
      <c r="G23" s="11"/>
      <c r="H23" s="11"/>
    </row>
    <row r="24" spans="1:8" x14ac:dyDescent="0.3">
      <c r="A24" s="28" t="s">
        <v>82</v>
      </c>
      <c r="B24" s="11">
        <v>3.94</v>
      </c>
      <c r="C24" s="11">
        <v>10</v>
      </c>
      <c r="D24" s="11"/>
      <c r="E24" s="11"/>
      <c r="F24" s="11"/>
      <c r="G24" s="11"/>
      <c r="H24" s="11"/>
    </row>
    <row r="25" spans="1:8" x14ac:dyDescent="0.3">
      <c r="A25" s="28" t="s">
        <v>83</v>
      </c>
      <c r="B25" s="11">
        <v>3.78</v>
      </c>
      <c r="C25" s="11">
        <v>10</v>
      </c>
      <c r="D25" s="11"/>
      <c r="E25" s="11"/>
      <c r="F25" s="11"/>
      <c r="G25" s="11"/>
      <c r="H25" s="11"/>
    </row>
    <row r="26" spans="1:8" x14ac:dyDescent="0.3">
      <c r="A26" s="28" t="s">
        <v>84</v>
      </c>
      <c r="B26" s="11">
        <v>3.84</v>
      </c>
      <c r="C26" s="11">
        <v>10</v>
      </c>
      <c r="D26" s="11"/>
      <c r="E26" s="11"/>
      <c r="F26" s="11"/>
      <c r="G26" s="11"/>
      <c r="H26" s="11"/>
    </row>
    <row r="27" spans="1:8" x14ac:dyDescent="0.3">
      <c r="A27" s="28" t="s">
        <v>85</v>
      </c>
      <c r="B27" s="11">
        <v>4.1399999999999997</v>
      </c>
      <c r="C27" s="11">
        <v>10</v>
      </c>
      <c r="D27" s="11"/>
      <c r="E27" s="11"/>
      <c r="F27" s="11"/>
      <c r="G27" s="11"/>
      <c r="H27" s="11"/>
    </row>
    <row r="28" spans="1:8" x14ac:dyDescent="0.3">
      <c r="A28" s="28" t="s">
        <v>86</v>
      </c>
      <c r="B28" s="11">
        <v>4.1399999999999997</v>
      </c>
      <c r="C28" s="11">
        <v>10</v>
      </c>
      <c r="D28" s="11"/>
      <c r="E28" s="11"/>
      <c r="F28" s="11"/>
      <c r="G28" s="11"/>
      <c r="H28" s="11"/>
    </row>
    <row r="29" spans="1:8" x14ac:dyDescent="0.3">
      <c r="A29" s="28" t="s">
        <v>87</v>
      </c>
      <c r="B29" s="11">
        <v>4.1399999999999997</v>
      </c>
      <c r="C29" s="11">
        <v>10</v>
      </c>
      <c r="D29" s="11"/>
      <c r="E29" s="11"/>
      <c r="F29" s="11"/>
      <c r="G29" s="11"/>
      <c r="H29" s="11"/>
    </row>
    <row r="30" spans="1:8" x14ac:dyDescent="0.3">
      <c r="A30" s="28" t="s">
        <v>88</v>
      </c>
      <c r="B30" s="11">
        <v>4.2699999999999996</v>
      </c>
      <c r="C30" s="11">
        <v>10</v>
      </c>
      <c r="D30" s="11"/>
      <c r="E30" s="11"/>
      <c r="F30" s="11"/>
      <c r="G30" s="11"/>
      <c r="H30" s="11"/>
    </row>
    <row r="31" spans="1:8" x14ac:dyDescent="0.3">
      <c r="A31" s="28" t="s">
        <v>89</v>
      </c>
      <c r="B31" s="11">
        <v>4.2699999999999996</v>
      </c>
      <c r="C31" s="11">
        <v>10</v>
      </c>
      <c r="D31" s="11"/>
      <c r="E31" s="11"/>
      <c r="F31" s="11"/>
      <c r="G31" s="11"/>
      <c r="H31" s="11"/>
    </row>
    <row r="32" spans="1:8" x14ac:dyDescent="0.3">
      <c r="A32" s="28" t="s">
        <v>34</v>
      </c>
      <c r="B32" s="11">
        <v>4.2699999999999996</v>
      </c>
      <c r="C32" s="11">
        <v>10</v>
      </c>
      <c r="D32" s="11"/>
      <c r="E32" s="11"/>
      <c r="F32" s="11"/>
      <c r="G32" s="11"/>
      <c r="H32" s="11"/>
    </row>
    <row r="33" spans="1:8" x14ac:dyDescent="0.3">
      <c r="A33" s="28" t="s">
        <v>35</v>
      </c>
      <c r="B33" s="11">
        <v>4.2699999999999996</v>
      </c>
      <c r="C33" s="11">
        <v>10</v>
      </c>
      <c r="D33" s="11"/>
      <c r="E33" s="11"/>
      <c r="F33" s="11"/>
      <c r="G33" s="11"/>
      <c r="H33" s="11"/>
    </row>
    <row r="34" spans="1:8" x14ac:dyDescent="0.3">
      <c r="A34" s="28" t="s">
        <v>36</v>
      </c>
      <c r="B34" s="11">
        <v>3.81</v>
      </c>
      <c r="C34" s="11">
        <v>10</v>
      </c>
      <c r="D34" s="11"/>
      <c r="E34" s="11"/>
      <c r="F34" s="11"/>
      <c r="G34" s="11"/>
      <c r="H34" s="11"/>
    </row>
    <row r="35" spans="1:8" x14ac:dyDescent="0.3">
      <c r="A35" s="28" t="s">
        <v>37</v>
      </c>
      <c r="B35" s="11">
        <v>3.81</v>
      </c>
      <c r="C35" s="11">
        <v>10</v>
      </c>
      <c r="D35" s="11"/>
      <c r="E35" s="11"/>
      <c r="F35" s="11"/>
      <c r="G35" s="11"/>
      <c r="H35" s="11"/>
    </row>
    <row r="36" spans="1:8" x14ac:dyDescent="0.3">
      <c r="A36" s="28" t="s">
        <v>38</v>
      </c>
      <c r="B36" s="11">
        <v>3.81</v>
      </c>
      <c r="C36" s="11">
        <v>10</v>
      </c>
      <c r="D36" s="11"/>
      <c r="E36" s="11"/>
      <c r="F36" s="11"/>
      <c r="G36" s="11"/>
      <c r="H36" s="11"/>
    </row>
    <row r="37" spans="1:8" x14ac:dyDescent="0.3">
      <c r="A37" s="28" t="s">
        <v>39</v>
      </c>
      <c r="B37" s="11">
        <v>3.81</v>
      </c>
      <c r="C37" s="11">
        <v>10</v>
      </c>
      <c r="D37" s="11"/>
      <c r="E37" s="11"/>
      <c r="F37" s="11"/>
      <c r="G37" s="11"/>
      <c r="H37" s="11"/>
    </row>
    <row r="38" spans="1:8" x14ac:dyDescent="0.3">
      <c r="A38" s="28" t="s">
        <v>40</v>
      </c>
      <c r="B38" s="11">
        <v>2.76</v>
      </c>
      <c r="C38" s="11">
        <v>10</v>
      </c>
      <c r="D38" s="11"/>
      <c r="E38" s="11"/>
      <c r="F38" s="11"/>
      <c r="G38" s="11"/>
      <c r="H38" s="11"/>
    </row>
    <row r="39" spans="1:8" x14ac:dyDescent="0.3">
      <c r="A39" s="28" t="s">
        <v>27</v>
      </c>
      <c r="B39" s="11">
        <v>2.76</v>
      </c>
      <c r="C39" s="11">
        <v>10</v>
      </c>
      <c r="D39" s="11"/>
      <c r="E39" s="11"/>
      <c r="F39" s="11"/>
      <c r="G39" s="11"/>
      <c r="H39" s="11"/>
    </row>
    <row r="40" spans="1:8" x14ac:dyDescent="0.3">
      <c r="A40" s="28" t="s">
        <v>28</v>
      </c>
      <c r="B40" s="11">
        <v>2.1800000000000002</v>
      </c>
      <c r="C40" s="11">
        <v>10</v>
      </c>
      <c r="D40" s="11"/>
      <c r="E40" s="11"/>
      <c r="F40" s="11"/>
      <c r="G40" s="11"/>
      <c r="H40" s="11"/>
    </row>
    <row r="41" spans="1:8" x14ac:dyDescent="0.3">
      <c r="A41" s="28" t="s">
        <v>18</v>
      </c>
      <c r="B41" s="11">
        <v>3.56</v>
      </c>
      <c r="C41" s="11">
        <v>10</v>
      </c>
      <c r="D41" s="11"/>
      <c r="E41" s="11"/>
      <c r="F41" s="11"/>
      <c r="G41" s="11"/>
      <c r="H41" s="11"/>
    </row>
    <row r="42" spans="1:8" x14ac:dyDescent="0.3">
      <c r="A42" s="28" t="s">
        <v>19</v>
      </c>
      <c r="B42" s="11">
        <v>4.8</v>
      </c>
      <c r="C42" s="11">
        <v>10</v>
      </c>
      <c r="D42" s="11"/>
      <c r="E42" s="11"/>
      <c r="F42" s="11"/>
      <c r="G42" s="11"/>
      <c r="H42" s="11"/>
    </row>
    <row r="43" spans="1:8" x14ac:dyDescent="0.3">
      <c r="A43" s="28" t="s">
        <v>20</v>
      </c>
      <c r="B43" s="11">
        <v>4.8</v>
      </c>
      <c r="C43" s="11">
        <v>10</v>
      </c>
      <c r="D43" s="11"/>
      <c r="E43" s="11"/>
      <c r="F43" s="11"/>
      <c r="G43" s="11"/>
      <c r="H43" s="11"/>
    </row>
    <row r="44" spans="1:8" x14ac:dyDescent="0.3">
      <c r="A44" s="28" t="s">
        <v>21</v>
      </c>
      <c r="B44" s="11">
        <v>4.5</v>
      </c>
      <c r="C44" s="11">
        <v>10</v>
      </c>
      <c r="D44" s="11"/>
      <c r="E44" s="11"/>
      <c r="F44" s="11"/>
      <c r="G44" s="11"/>
      <c r="H44" s="11"/>
    </row>
    <row r="45" spans="1:8" x14ac:dyDescent="0.3">
      <c r="A45" s="28" t="s">
        <v>22</v>
      </c>
      <c r="B45" s="11">
        <v>4.2</v>
      </c>
      <c r="C45" s="11">
        <v>10</v>
      </c>
      <c r="D45" s="11"/>
      <c r="E45" s="11"/>
      <c r="F45" s="11"/>
      <c r="G45" s="11"/>
      <c r="H45" s="11"/>
    </row>
    <row r="46" spans="1:8" x14ac:dyDescent="0.3">
      <c r="A46" s="28" t="s">
        <v>23</v>
      </c>
      <c r="B46" s="11">
        <v>3.8</v>
      </c>
      <c r="C46" s="11">
        <v>10</v>
      </c>
      <c r="D46" s="11"/>
      <c r="E46" s="11"/>
      <c r="F46" s="11"/>
      <c r="G46" s="11"/>
      <c r="H46" s="11"/>
    </row>
    <row r="47" spans="1:8" x14ac:dyDescent="0.3">
      <c r="A47" s="28" t="s">
        <v>24</v>
      </c>
      <c r="B47" s="11">
        <v>3.82</v>
      </c>
      <c r="C47" s="11">
        <v>10</v>
      </c>
      <c r="D47" s="11"/>
      <c r="E47" s="11"/>
      <c r="F47" s="11"/>
      <c r="G47" s="11"/>
      <c r="H47" s="11"/>
    </row>
    <row r="48" spans="1:8" x14ac:dyDescent="0.3">
      <c r="A48" s="28" t="s">
        <v>25</v>
      </c>
      <c r="B48" s="11">
        <v>3.85</v>
      </c>
      <c r="C48" s="11">
        <v>10</v>
      </c>
      <c r="D48" s="11"/>
      <c r="E48" s="11"/>
      <c r="F48" s="11"/>
      <c r="G48" s="11"/>
      <c r="H48" s="11"/>
    </row>
    <row r="49" spans="1:8" x14ac:dyDescent="0.3">
      <c r="A49" s="28" t="s">
        <v>26</v>
      </c>
      <c r="B49" s="11">
        <v>4.8899999999999997</v>
      </c>
      <c r="C49" s="11">
        <v>10</v>
      </c>
      <c r="D49" s="11"/>
      <c r="E49" s="11"/>
      <c r="F49" s="11"/>
      <c r="G49" s="11"/>
      <c r="H49" s="11"/>
    </row>
    <row r="50" spans="1:8" x14ac:dyDescent="0.3">
      <c r="A50" s="28" t="s">
        <v>41</v>
      </c>
      <c r="B50" s="11">
        <v>4.38</v>
      </c>
      <c r="C50" s="11">
        <v>10</v>
      </c>
      <c r="D50" s="11"/>
      <c r="E50" s="11"/>
      <c r="F50" s="11"/>
      <c r="G50" s="11"/>
      <c r="H50" s="11"/>
    </row>
    <row r="51" spans="1:8" x14ac:dyDescent="0.3">
      <c r="A51" s="28" t="s">
        <v>109</v>
      </c>
      <c r="B51" s="11">
        <v>3.2</v>
      </c>
      <c r="C51" s="11">
        <v>10</v>
      </c>
      <c r="D51" s="11"/>
      <c r="E51" s="11"/>
      <c r="F51" s="11"/>
      <c r="G51" s="11"/>
      <c r="H51" s="11"/>
    </row>
    <row r="52" spans="1:8" x14ac:dyDescent="0.3">
      <c r="A52" s="28" t="s">
        <v>124</v>
      </c>
      <c r="B52" s="11">
        <v>3.54</v>
      </c>
      <c r="C52" s="11">
        <v>10</v>
      </c>
      <c r="D52" s="11"/>
      <c r="E52" s="11"/>
      <c r="F52" s="11"/>
      <c r="G52" s="11"/>
      <c r="H52" s="11"/>
    </row>
    <row r="53" spans="1:8" x14ac:dyDescent="0.3">
      <c r="A53" s="28" t="s">
        <v>125</v>
      </c>
      <c r="B53" s="11">
        <v>3.4</v>
      </c>
      <c r="C53" s="11">
        <v>10</v>
      </c>
      <c r="D53" s="11"/>
      <c r="E53" s="11"/>
      <c r="F53" s="11"/>
      <c r="G53" s="11"/>
      <c r="H53" s="11"/>
    </row>
    <row r="54" spans="1:8" x14ac:dyDescent="0.3">
      <c r="A54" s="28" t="s">
        <v>126</v>
      </c>
      <c r="B54" s="11">
        <v>3.4</v>
      </c>
      <c r="C54" s="11">
        <v>10</v>
      </c>
      <c r="D54" s="11"/>
      <c r="E54" s="11"/>
      <c r="F54" s="11"/>
      <c r="G54" s="11"/>
      <c r="H54" s="11"/>
    </row>
    <row r="55" spans="1:8" x14ac:dyDescent="0.3">
      <c r="A55" s="28" t="s">
        <v>127</v>
      </c>
      <c r="B55" s="11">
        <v>3.43</v>
      </c>
      <c r="C55" s="11">
        <v>10</v>
      </c>
      <c r="D55" s="11"/>
      <c r="E55" s="11"/>
      <c r="F55" s="11"/>
      <c r="G55" s="11"/>
      <c r="H55" s="11"/>
    </row>
    <row r="56" spans="1:8" x14ac:dyDescent="0.3">
      <c r="A56" s="28" t="s">
        <v>128</v>
      </c>
      <c r="B56" s="11">
        <v>3.51</v>
      </c>
      <c r="C56" s="11">
        <v>10</v>
      </c>
      <c r="D56" s="11"/>
      <c r="E56" s="11"/>
      <c r="F56" s="11"/>
      <c r="G56" s="11"/>
      <c r="H56" s="11"/>
    </row>
    <row r="57" spans="1:8" x14ac:dyDescent="0.3">
      <c r="A57" s="28" t="s">
        <v>129</v>
      </c>
      <c r="B57" s="11">
        <v>3.5</v>
      </c>
      <c r="C57" s="11">
        <v>10</v>
      </c>
      <c r="D57" s="11"/>
      <c r="E57" s="11"/>
      <c r="F57" s="11"/>
      <c r="G57" s="11"/>
      <c r="H57" s="11"/>
    </row>
    <row r="58" spans="1:8" x14ac:dyDescent="0.3">
      <c r="A58" s="28" t="s">
        <v>130</v>
      </c>
      <c r="B58" s="11">
        <v>4.4400000000000004</v>
      </c>
      <c r="C58" s="11">
        <v>10</v>
      </c>
      <c r="D58" s="11"/>
      <c r="E58" s="11"/>
      <c r="F58" s="11"/>
      <c r="G58" s="11"/>
      <c r="H58" s="11"/>
    </row>
    <row r="59" spans="1:8" x14ac:dyDescent="0.3">
      <c r="A59" s="28" t="s">
        <v>131</v>
      </c>
      <c r="B59" s="11">
        <v>5.48</v>
      </c>
      <c r="C59" s="11">
        <v>10</v>
      </c>
      <c r="D59" s="11"/>
      <c r="E59" s="11"/>
      <c r="F59" s="11"/>
      <c r="G59" s="11"/>
      <c r="H59" s="11"/>
    </row>
    <row r="60" spans="1:8" x14ac:dyDescent="0.3">
      <c r="A60" s="28" t="s">
        <v>132</v>
      </c>
      <c r="B60" s="11">
        <v>5.0599999999999996</v>
      </c>
      <c r="C60" s="11">
        <v>10</v>
      </c>
      <c r="D60" s="11"/>
      <c r="E60" s="11"/>
      <c r="F60" s="11"/>
      <c r="G60" s="11"/>
      <c r="H60" s="11"/>
    </row>
    <row r="61" spans="1:8" x14ac:dyDescent="0.3">
      <c r="A61" s="28" t="s">
        <v>134</v>
      </c>
      <c r="B61" s="11">
        <v>3.87</v>
      </c>
      <c r="C61" s="11">
        <v>10</v>
      </c>
      <c r="D61" s="11"/>
      <c r="E61" s="11"/>
      <c r="F61" s="11"/>
      <c r="G61" s="11"/>
      <c r="H61" s="11"/>
    </row>
    <row r="62" spans="1:8" x14ac:dyDescent="0.3">
      <c r="A62" s="28" t="s">
        <v>135</v>
      </c>
      <c r="B62" s="11">
        <v>4.3</v>
      </c>
      <c r="C62" s="11">
        <v>10</v>
      </c>
      <c r="D62" s="11"/>
      <c r="E62" s="11"/>
      <c r="F62" s="11"/>
      <c r="G62" s="11"/>
      <c r="H62" s="11"/>
    </row>
    <row r="63" spans="1:8" x14ac:dyDescent="0.3">
      <c r="A63" s="28" t="s">
        <v>136</v>
      </c>
      <c r="B63" s="11">
        <v>4.0999999999999996</v>
      </c>
      <c r="C63" s="11">
        <v>10</v>
      </c>
      <c r="D63" s="11"/>
      <c r="E63" s="11"/>
      <c r="F63" s="11"/>
      <c r="G63" s="11"/>
      <c r="H63" s="11"/>
    </row>
    <row r="64" spans="1:8" x14ac:dyDescent="0.3">
      <c r="A64" s="28" t="s">
        <v>137</v>
      </c>
      <c r="B64" s="11">
        <v>4.0199999999999996</v>
      </c>
      <c r="C64" s="11">
        <v>10</v>
      </c>
      <c r="D64" s="11"/>
      <c r="E64" s="11"/>
      <c r="F64" s="11"/>
      <c r="G64" s="11"/>
      <c r="H64" s="11"/>
    </row>
    <row r="65" spans="1:8" x14ac:dyDescent="0.3">
      <c r="A65" s="28" t="s">
        <v>138</v>
      </c>
      <c r="B65" s="11">
        <v>3.96</v>
      </c>
      <c r="C65" s="11">
        <v>10</v>
      </c>
      <c r="D65" s="11"/>
      <c r="E65" s="11"/>
      <c r="F65" s="11"/>
      <c r="G65" s="11"/>
      <c r="H65" s="11"/>
    </row>
    <row r="66" spans="1:8" x14ac:dyDescent="0.3">
      <c r="A66" s="28" t="s">
        <v>3497</v>
      </c>
      <c r="B66" s="11">
        <v>3.56</v>
      </c>
      <c r="C66" s="11">
        <v>10</v>
      </c>
      <c r="D66" s="11"/>
      <c r="E66" s="11"/>
      <c r="F66" s="11"/>
      <c r="G66" s="11"/>
      <c r="H66" s="11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E180-5CF9-471E-B750-9DE2051A5EE9}">
  <sheetPr codeName="Planilha10">
    <tabColor theme="4"/>
  </sheetPr>
  <dimension ref="A1:C74"/>
  <sheetViews>
    <sheetView workbookViewId="0">
      <pane ySplit="1" topLeftCell="A54" activePane="bottomLeft" state="frozen"/>
      <selection pane="bottomLeft" activeCell="A74" sqref="A74:XFD74"/>
    </sheetView>
  </sheetViews>
  <sheetFormatPr defaultRowHeight="14.4" x14ac:dyDescent="0.3"/>
  <cols>
    <col min="1" max="1" width="10.33203125" style="6" bestFit="1" customWidth="1"/>
    <col min="2" max="2" width="22.109375" bestFit="1" customWidth="1"/>
    <col min="3" max="3" width="23.33203125" bestFit="1" customWidth="1"/>
  </cols>
  <sheetData>
    <row r="1" spans="1:3" x14ac:dyDescent="0.3">
      <c r="A1" s="13" t="s">
        <v>17</v>
      </c>
      <c r="B1" s="15" t="s">
        <v>97</v>
      </c>
      <c r="C1" s="15" t="s">
        <v>33</v>
      </c>
    </row>
    <row r="2" spans="1:3" x14ac:dyDescent="0.3">
      <c r="A2" s="28" t="s">
        <v>60</v>
      </c>
      <c r="B2" s="16">
        <v>1</v>
      </c>
      <c r="C2" s="16">
        <v>1</v>
      </c>
    </row>
    <row r="3" spans="1:3" x14ac:dyDescent="0.3">
      <c r="A3" s="28" t="s">
        <v>61</v>
      </c>
      <c r="B3" s="16">
        <v>1</v>
      </c>
      <c r="C3" s="16">
        <v>1</v>
      </c>
    </row>
    <row r="4" spans="1:3" x14ac:dyDescent="0.3">
      <c r="A4" s="28" t="s">
        <v>62</v>
      </c>
      <c r="B4" s="16">
        <v>1</v>
      </c>
      <c r="C4" s="16">
        <v>1</v>
      </c>
    </row>
    <row r="5" spans="1:3" x14ac:dyDescent="0.3">
      <c r="A5" s="28" t="s">
        <v>63</v>
      </c>
      <c r="B5" s="16">
        <v>1</v>
      </c>
      <c r="C5" s="16">
        <v>1</v>
      </c>
    </row>
    <row r="6" spans="1:3" x14ac:dyDescent="0.3">
      <c r="A6" s="28" t="s">
        <v>64</v>
      </c>
      <c r="B6" s="16">
        <v>1</v>
      </c>
      <c r="C6" s="16">
        <v>1</v>
      </c>
    </row>
    <row r="7" spans="1:3" x14ac:dyDescent="0.3">
      <c r="A7" s="28" t="s">
        <v>65</v>
      </c>
      <c r="B7" s="16">
        <v>1</v>
      </c>
      <c r="C7" s="16">
        <v>1</v>
      </c>
    </row>
    <row r="8" spans="1:3" x14ac:dyDescent="0.3">
      <c r="A8" s="28" t="s">
        <v>66</v>
      </c>
      <c r="B8" s="16">
        <v>1</v>
      </c>
      <c r="C8" s="16">
        <v>1</v>
      </c>
    </row>
    <row r="9" spans="1:3" x14ac:dyDescent="0.3">
      <c r="A9" s="28" t="s">
        <v>67</v>
      </c>
      <c r="B9" s="16">
        <v>1</v>
      </c>
      <c r="C9" s="16">
        <v>1</v>
      </c>
    </row>
    <row r="10" spans="1:3" x14ac:dyDescent="0.3">
      <c r="A10" s="28" t="s">
        <v>68</v>
      </c>
      <c r="B10" s="16">
        <v>1</v>
      </c>
      <c r="C10" s="16">
        <v>1</v>
      </c>
    </row>
    <row r="11" spans="1:3" x14ac:dyDescent="0.3">
      <c r="A11" s="28" t="s">
        <v>69</v>
      </c>
      <c r="B11" s="16">
        <v>1</v>
      </c>
      <c r="C11" s="16">
        <v>1</v>
      </c>
    </row>
    <row r="12" spans="1:3" x14ac:dyDescent="0.3">
      <c r="A12" s="28" t="s">
        <v>70</v>
      </c>
      <c r="B12" s="16">
        <v>1</v>
      </c>
      <c r="C12" s="16">
        <v>1</v>
      </c>
    </row>
    <row r="13" spans="1:3" x14ac:dyDescent="0.3">
      <c r="A13" s="28" t="s">
        <v>71</v>
      </c>
      <c r="B13" s="16">
        <v>1</v>
      </c>
      <c r="C13" s="16">
        <v>1</v>
      </c>
    </row>
    <row r="14" spans="1:3" x14ac:dyDescent="0.3">
      <c r="A14" s="28" t="s">
        <v>72</v>
      </c>
      <c r="B14" s="16">
        <v>1</v>
      </c>
      <c r="C14" s="16">
        <v>1</v>
      </c>
    </row>
    <row r="15" spans="1:3" x14ac:dyDescent="0.3">
      <c r="A15" s="28" t="s">
        <v>73</v>
      </c>
      <c r="B15" s="16">
        <v>1</v>
      </c>
      <c r="C15" s="16">
        <v>1</v>
      </c>
    </row>
    <row r="16" spans="1:3" x14ac:dyDescent="0.3">
      <c r="A16" s="28" t="s">
        <v>74</v>
      </c>
      <c r="B16" s="16">
        <v>1</v>
      </c>
      <c r="C16" s="16">
        <v>1</v>
      </c>
    </row>
    <row r="17" spans="1:3" x14ac:dyDescent="0.3">
      <c r="A17" s="28" t="s">
        <v>75</v>
      </c>
      <c r="B17" s="16">
        <v>1</v>
      </c>
      <c r="C17" s="16">
        <v>1</v>
      </c>
    </row>
    <row r="18" spans="1:3" x14ac:dyDescent="0.3">
      <c r="A18" s="28" t="s">
        <v>76</v>
      </c>
      <c r="B18" s="16">
        <v>1</v>
      </c>
      <c r="C18" s="16">
        <v>1</v>
      </c>
    </row>
    <row r="19" spans="1:3" x14ac:dyDescent="0.3">
      <c r="A19" s="28" t="s">
        <v>77</v>
      </c>
      <c r="B19" s="16">
        <v>1</v>
      </c>
      <c r="C19" s="16">
        <v>1</v>
      </c>
    </row>
    <row r="20" spans="1:3" x14ac:dyDescent="0.3">
      <c r="A20" s="28" t="s">
        <v>78</v>
      </c>
      <c r="B20" s="16">
        <v>1</v>
      </c>
      <c r="C20" s="16">
        <v>1</v>
      </c>
    </row>
    <row r="21" spans="1:3" x14ac:dyDescent="0.3">
      <c r="A21" s="28" t="s">
        <v>79</v>
      </c>
      <c r="B21" s="16">
        <v>1</v>
      </c>
      <c r="C21" s="16">
        <v>1</v>
      </c>
    </row>
    <row r="22" spans="1:3" x14ac:dyDescent="0.3">
      <c r="A22" s="28" t="s">
        <v>80</v>
      </c>
      <c r="B22" s="16">
        <v>1</v>
      </c>
      <c r="C22" s="16">
        <v>1</v>
      </c>
    </row>
    <row r="23" spans="1:3" x14ac:dyDescent="0.3">
      <c r="A23" s="28" t="s">
        <v>81</v>
      </c>
      <c r="B23" s="16">
        <v>1</v>
      </c>
      <c r="C23" s="16">
        <v>1</v>
      </c>
    </row>
    <row r="24" spans="1:3" x14ac:dyDescent="0.3">
      <c r="A24" s="28" t="s">
        <v>82</v>
      </c>
      <c r="B24" s="16">
        <v>1</v>
      </c>
      <c r="C24" s="16">
        <v>1</v>
      </c>
    </row>
    <row r="25" spans="1:3" x14ac:dyDescent="0.3">
      <c r="A25" s="28" t="s">
        <v>83</v>
      </c>
      <c r="B25" s="16">
        <v>1</v>
      </c>
      <c r="C25" s="16">
        <v>1</v>
      </c>
    </row>
    <row r="26" spans="1:3" x14ac:dyDescent="0.3">
      <c r="A26" s="28" t="s">
        <v>84</v>
      </c>
      <c r="B26" s="16">
        <v>1</v>
      </c>
      <c r="C26" s="16">
        <v>1</v>
      </c>
    </row>
    <row r="27" spans="1:3" x14ac:dyDescent="0.3">
      <c r="A27" s="28" t="s">
        <v>84</v>
      </c>
      <c r="B27" s="16">
        <v>1</v>
      </c>
      <c r="C27" s="16">
        <v>1</v>
      </c>
    </row>
    <row r="28" spans="1:3" x14ac:dyDescent="0.3">
      <c r="A28" s="28" t="s">
        <v>84</v>
      </c>
      <c r="B28" s="16">
        <v>1</v>
      </c>
      <c r="C28" s="16">
        <v>1</v>
      </c>
    </row>
    <row r="29" spans="1:3" x14ac:dyDescent="0.3">
      <c r="A29" s="28" t="s">
        <v>84</v>
      </c>
      <c r="B29" s="16">
        <v>1</v>
      </c>
      <c r="C29" s="16">
        <v>1</v>
      </c>
    </row>
    <row r="30" spans="1:3" x14ac:dyDescent="0.3">
      <c r="A30" s="28" t="s">
        <v>84</v>
      </c>
      <c r="B30" s="16">
        <v>1</v>
      </c>
      <c r="C30" s="16">
        <v>1</v>
      </c>
    </row>
    <row r="31" spans="1:3" x14ac:dyDescent="0.3">
      <c r="A31" s="28" t="s">
        <v>84</v>
      </c>
      <c r="B31" s="16">
        <v>1</v>
      </c>
      <c r="C31" s="16">
        <v>1</v>
      </c>
    </row>
    <row r="32" spans="1:3" x14ac:dyDescent="0.3">
      <c r="A32" s="28" t="s">
        <v>84</v>
      </c>
      <c r="B32" s="16">
        <v>1</v>
      </c>
      <c r="C32" s="16">
        <v>1</v>
      </c>
    </row>
    <row r="33" spans="1:3" x14ac:dyDescent="0.3">
      <c r="A33" s="28" t="s">
        <v>85</v>
      </c>
      <c r="B33" s="16">
        <v>1</v>
      </c>
      <c r="C33" s="16">
        <v>1</v>
      </c>
    </row>
    <row r="34" spans="1:3" x14ac:dyDescent="0.3">
      <c r="A34" s="28" t="s">
        <v>86</v>
      </c>
      <c r="B34" s="16">
        <v>1</v>
      </c>
      <c r="C34" s="16">
        <v>1</v>
      </c>
    </row>
    <row r="35" spans="1:3" x14ac:dyDescent="0.3">
      <c r="A35" s="28" t="s">
        <v>86</v>
      </c>
      <c r="B35" s="16">
        <v>1</v>
      </c>
      <c r="C35" s="16">
        <v>1</v>
      </c>
    </row>
    <row r="36" spans="1:3" x14ac:dyDescent="0.3">
      <c r="A36" s="28" t="s">
        <v>87</v>
      </c>
      <c r="B36" s="16">
        <v>1</v>
      </c>
      <c r="C36" s="16">
        <v>1</v>
      </c>
    </row>
    <row r="37" spans="1:3" x14ac:dyDescent="0.3">
      <c r="A37" s="28" t="s">
        <v>88</v>
      </c>
      <c r="B37" s="16">
        <v>1</v>
      </c>
      <c r="C37" s="16">
        <v>1</v>
      </c>
    </row>
    <row r="38" spans="1:3" x14ac:dyDescent="0.3">
      <c r="A38" s="28" t="s">
        <v>89</v>
      </c>
      <c r="B38" s="16">
        <v>1</v>
      </c>
      <c r="C38" s="16">
        <v>1</v>
      </c>
    </row>
    <row r="39" spans="1:3" x14ac:dyDescent="0.3">
      <c r="A39" s="28" t="s">
        <v>34</v>
      </c>
      <c r="B39" s="16">
        <v>1</v>
      </c>
      <c r="C39" s="16">
        <v>1</v>
      </c>
    </row>
    <row r="40" spans="1:3" x14ac:dyDescent="0.3">
      <c r="A40" s="28" t="s">
        <v>35</v>
      </c>
      <c r="B40" s="16">
        <v>1</v>
      </c>
      <c r="C40" s="16">
        <v>1</v>
      </c>
    </row>
    <row r="41" spans="1:3" x14ac:dyDescent="0.3">
      <c r="A41" s="28" t="s">
        <v>36</v>
      </c>
      <c r="B41" s="16">
        <v>1</v>
      </c>
      <c r="C41" s="16">
        <v>1</v>
      </c>
    </row>
    <row r="42" spans="1:3" x14ac:dyDescent="0.3">
      <c r="A42" s="28" t="s">
        <v>37</v>
      </c>
      <c r="B42" s="16">
        <v>1</v>
      </c>
      <c r="C42" s="16">
        <v>1</v>
      </c>
    </row>
    <row r="43" spans="1:3" x14ac:dyDescent="0.3">
      <c r="A43" s="28" t="s">
        <v>38</v>
      </c>
      <c r="B43" s="16">
        <v>1</v>
      </c>
      <c r="C43" s="16">
        <v>1</v>
      </c>
    </row>
    <row r="44" spans="1:3" x14ac:dyDescent="0.3">
      <c r="A44" s="28" t="s">
        <v>39</v>
      </c>
      <c r="B44" s="16">
        <v>1</v>
      </c>
      <c r="C44" s="16">
        <v>1</v>
      </c>
    </row>
    <row r="45" spans="1:3" x14ac:dyDescent="0.3">
      <c r="A45" s="28" t="s">
        <v>40</v>
      </c>
      <c r="B45" s="16">
        <v>1</v>
      </c>
      <c r="C45" s="16">
        <v>1</v>
      </c>
    </row>
    <row r="46" spans="1:3" x14ac:dyDescent="0.3">
      <c r="A46" s="28" t="s">
        <v>27</v>
      </c>
      <c r="B46" s="16">
        <v>1</v>
      </c>
      <c r="C46" s="16">
        <v>1</v>
      </c>
    </row>
    <row r="47" spans="1:3" x14ac:dyDescent="0.3">
      <c r="A47" s="28" t="s">
        <v>28</v>
      </c>
      <c r="B47" s="16">
        <v>1</v>
      </c>
      <c r="C47" s="16">
        <v>1</v>
      </c>
    </row>
    <row r="48" spans="1:3" x14ac:dyDescent="0.3">
      <c r="A48" s="28" t="s">
        <v>18</v>
      </c>
      <c r="B48" s="16">
        <v>1</v>
      </c>
      <c r="C48" s="16">
        <v>1</v>
      </c>
    </row>
    <row r="49" spans="1:3" x14ac:dyDescent="0.3">
      <c r="A49" s="28" t="s">
        <v>19</v>
      </c>
      <c r="B49" s="16">
        <v>1</v>
      </c>
      <c r="C49" s="16">
        <v>1</v>
      </c>
    </row>
    <row r="50" spans="1:3" x14ac:dyDescent="0.3">
      <c r="A50" s="28" t="s">
        <v>20</v>
      </c>
      <c r="B50" s="16">
        <v>1</v>
      </c>
      <c r="C50" s="16">
        <v>1</v>
      </c>
    </row>
    <row r="51" spans="1:3" x14ac:dyDescent="0.3">
      <c r="A51" s="28" t="s">
        <v>21</v>
      </c>
      <c r="B51" s="16">
        <v>1</v>
      </c>
      <c r="C51" s="16">
        <v>1</v>
      </c>
    </row>
    <row r="52" spans="1:3" x14ac:dyDescent="0.3">
      <c r="A52" s="28" t="s">
        <v>22</v>
      </c>
      <c r="B52" s="16">
        <v>1</v>
      </c>
      <c r="C52" s="16">
        <v>1</v>
      </c>
    </row>
    <row r="53" spans="1:3" x14ac:dyDescent="0.3">
      <c r="A53" s="28" t="s">
        <v>23</v>
      </c>
      <c r="B53" s="16">
        <v>1</v>
      </c>
      <c r="C53" s="16">
        <v>1</v>
      </c>
    </row>
    <row r="54" spans="1:3" x14ac:dyDescent="0.3">
      <c r="A54" s="28" t="s">
        <v>24</v>
      </c>
      <c r="B54" s="16">
        <v>1</v>
      </c>
      <c r="C54" s="16">
        <v>1</v>
      </c>
    </row>
    <row r="55" spans="1:3" x14ac:dyDescent="0.3">
      <c r="A55" s="28" t="s">
        <v>25</v>
      </c>
      <c r="B55" s="16">
        <v>1</v>
      </c>
      <c r="C55" s="16">
        <v>1</v>
      </c>
    </row>
    <row r="56" spans="1:3" x14ac:dyDescent="0.3">
      <c r="A56" s="28" t="s">
        <v>26</v>
      </c>
      <c r="B56" s="16">
        <v>1</v>
      </c>
      <c r="C56" s="16">
        <v>1</v>
      </c>
    </row>
    <row r="57" spans="1:3" x14ac:dyDescent="0.3">
      <c r="A57" s="28" t="s">
        <v>41</v>
      </c>
      <c r="B57" s="16">
        <v>1</v>
      </c>
      <c r="C57" s="16">
        <v>1</v>
      </c>
    </row>
    <row r="58" spans="1:3" x14ac:dyDescent="0.3">
      <c r="A58" s="28" t="s">
        <v>109</v>
      </c>
      <c r="B58" s="16">
        <v>1</v>
      </c>
      <c r="C58" s="16">
        <v>1</v>
      </c>
    </row>
    <row r="59" spans="1:3" x14ac:dyDescent="0.3">
      <c r="A59" s="28" t="s">
        <v>124</v>
      </c>
      <c r="B59" s="16">
        <v>1</v>
      </c>
      <c r="C59" s="16">
        <v>1</v>
      </c>
    </row>
    <row r="60" spans="1:3" x14ac:dyDescent="0.3">
      <c r="A60" s="28" t="s">
        <v>125</v>
      </c>
      <c r="B60" s="16">
        <v>1</v>
      </c>
      <c r="C60" s="16">
        <v>1</v>
      </c>
    </row>
    <row r="61" spans="1:3" x14ac:dyDescent="0.3">
      <c r="A61" s="28" t="s">
        <v>125</v>
      </c>
      <c r="B61" s="16">
        <v>1</v>
      </c>
      <c r="C61" s="16">
        <v>1</v>
      </c>
    </row>
    <row r="62" spans="1:3" x14ac:dyDescent="0.3">
      <c r="A62" s="28" t="s">
        <v>126</v>
      </c>
      <c r="B62" s="16">
        <v>1</v>
      </c>
      <c r="C62" s="16">
        <v>1</v>
      </c>
    </row>
    <row r="63" spans="1:3" x14ac:dyDescent="0.3">
      <c r="A63" s="28" t="s">
        <v>127</v>
      </c>
      <c r="B63" s="16">
        <v>1</v>
      </c>
      <c r="C63" s="16">
        <v>1</v>
      </c>
    </row>
    <row r="64" spans="1:3" x14ac:dyDescent="0.3">
      <c r="A64" s="28" t="s">
        <v>128</v>
      </c>
      <c r="B64" s="16">
        <v>0.78</v>
      </c>
      <c r="C64" s="16">
        <v>1</v>
      </c>
    </row>
    <row r="65" spans="1:3" x14ac:dyDescent="0.3">
      <c r="A65" s="28" t="s">
        <v>129</v>
      </c>
      <c r="B65" s="16">
        <v>1</v>
      </c>
      <c r="C65" s="16">
        <v>1</v>
      </c>
    </row>
    <row r="66" spans="1:3" x14ac:dyDescent="0.3">
      <c r="A66" s="28" t="s">
        <v>130</v>
      </c>
      <c r="B66" s="16">
        <v>1</v>
      </c>
      <c r="C66" s="16">
        <v>1</v>
      </c>
    </row>
    <row r="67" spans="1:3" x14ac:dyDescent="0.3">
      <c r="A67" s="28" t="s">
        <v>131</v>
      </c>
      <c r="B67" s="16">
        <v>1</v>
      </c>
      <c r="C67" s="16">
        <v>1</v>
      </c>
    </row>
    <row r="68" spans="1:3" x14ac:dyDescent="0.3">
      <c r="A68" s="28" t="s">
        <v>132</v>
      </c>
      <c r="B68" s="16">
        <v>1</v>
      </c>
      <c r="C68" s="16">
        <v>1</v>
      </c>
    </row>
    <row r="69" spans="1:3" x14ac:dyDescent="0.3">
      <c r="A69" s="28" t="s">
        <v>134</v>
      </c>
      <c r="B69" s="16">
        <v>1</v>
      </c>
      <c r="C69" s="16">
        <v>1</v>
      </c>
    </row>
    <row r="70" spans="1:3" x14ac:dyDescent="0.3">
      <c r="A70" s="28" t="s">
        <v>135</v>
      </c>
      <c r="B70" s="16">
        <v>1</v>
      </c>
      <c r="C70" s="16">
        <v>1</v>
      </c>
    </row>
    <row r="71" spans="1:3" x14ac:dyDescent="0.3">
      <c r="A71" s="28" t="s">
        <v>136</v>
      </c>
      <c r="B71" s="16">
        <v>1</v>
      </c>
      <c r="C71" s="16">
        <v>1</v>
      </c>
    </row>
    <row r="72" spans="1:3" x14ac:dyDescent="0.3">
      <c r="A72" s="28" t="s">
        <v>137</v>
      </c>
      <c r="B72" s="16">
        <v>1</v>
      </c>
      <c r="C72" s="16">
        <v>1</v>
      </c>
    </row>
    <row r="73" spans="1:3" x14ac:dyDescent="0.3">
      <c r="A73" s="28" t="s">
        <v>138</v>
      </c>
      <c r="B73" s="16">
        <v>1</v>
      </c>
      <c r="C73" s="16">
        <v>1</v>
      </c>
    </row>
    <row r="74" spans="1:3" x14ac:dyDescent="0.3">
      <c r="A74" s="28" t="s">
        <v>3497</v>
      </c>
      <c r="B74" s="16">
        <v>1</v>
      </c>
      <c r="C74" s="16">
        <v>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FC0C-BAC3-42AE-B98B-AB4094C62A77}">
  <sheetPr codeName="Planilha11">
    <tabColor theme="4"/>
  </sheetPr>
  <dimension ref="A1:L14"/>
  <sheetViews>
    <sheetView workbookViewId="0">
      <pane ySplit="1" topLeftCell="A2" activePane="bottomLeft" state="frozen"/>
      <selection pane="bottomLeft" activeCell="A15" sqref="A15"/>
    </sheetView>
  </sheetViews>
  <sheetFormatPr defaultRowHeight="14.4" x14ac:dyDescent="0.3"/>
  <cols>
    <col min="1" max="1" width="12.109375" style="6" customWidth="1"/>
    <col min="2" max="2" width="7.5546875" bestFit="1" customWidth="1"/>
    <col min="3" max="3" width="28.6640625" bestFit="1" customWidth="1"/>
    <col min="4" max="4" width="30.44140625" bestFit="1" customWidth="1"/>
    <col min="5" max="5" width="17.33203125" bestFit="1" customWidth="1"/>
    <col min="6" max="6" width="15" bestFit="1" customWidth="1"/>
    <col min="7" max="7" width="19.33203125" bestFit="1" customWidth="1"/>
    <col min="8" max="8" width="21.33203125" bestFit="1" customWidth="1"/>
    <col min="9" max="9" width="19.6640625" bestFit="1" customWidth="1"/>
    <col min="10" max="10" width="14.88671875" bestFit="1" customWidth="1"/>
    <col min="11" max="11" width="7.6640625" customWidth="1"/>
    <col min="12" max="12" width="10" bestFit="1" customWidth="1"/>
  </cols>
  <sheetData>
    <row r="1" spans="1:12" x14ac:dyDescent="0.3">
      <c r="A1" s="47" t="s">
        <v>0</v>
      </c>
      <c r="B1" s="45" t="s">
        <v>17</v>
      </c>
      <c r="C1" s="46" t="s">
        <v>111</v>
      </c>
      <c r="D1" s="46" t="s">
        <v>112</v>
      </c>
      <c r="E1" s="46" t="s">
        <v>113</v>
      </c>
      <c r="F1" s="46" t="s">
        <v>114</v>
      </c>
      <c r="G1" s="46" t="s">
        <v>115</v>
      </c>
      <c r="H1" s="46" t="s">
        <v>116</v>
      </c>
      <c r="I1" s="46" t="s">
        <v>117</v>
      </c>
      <c r="J1" s="46" t="s">
        <v>122</v>
      </c>
      <c r="K1" s="46" t="s">
        <v>121</v>
      </c>
      <c r="L1" s="46" t="s">
        <v>123</v>
      </c>
    </row>
    <row r="2" spans="1:12" x14ac:dyDescent="0.3">
      <c r="A2" s="6">
        <v>45722</v>
      </c>
      <c r="B2" t="s">
        <v>18</v>
      </c>
      <c r="C2">
        <v>6639.25</v>
      </c>
      <c r="D2">
        <v>492.75</v>
      </c>
      <c r="E2">
        <v>580</v>
      </c>
      <c r="F2">
        <v>26</v>
      </c>
      <c r="G2">
        <v>6132</v>
      </c>
      <c r="H2">
        <v>7132</v>
      </c>
      <c r="I2">
        <v>6738</v>
      </c>
      <c r="J2">
        <v>23665.900000000005</v>
      </c>
      <c r="K2" s="51">
        <f>H2/J2</f>
        <v>0.30136187510299622</v>
      </c>
      <c r="L2">
        <f>J2-H2</f>
        <v>16533.900000000005</v>
      </c>
    </row>
    <row r="3" spans="1:12" x14ac:dyDescent="0.3">
      <c r="A3" s="6">
        <v>45727</v>
      </c>
      <c r="B3" t="s">
        <v>19</v>
      </c>
      <c r="C3">
        <v>6873.25</v>
      </c>
      <c r="D3">
        <v>502.04999999999995</v>
      </c>
      <c r="E3">
        <v>648</v>
      </c>
      <c r="F3">
        <v>36</v>
      </c>
      <c r="G3">
        <v>6408</v>
      </c>
      <c r="H3">
        <v>7375.3</v>
      </c>
      <c r="I3">
        <v>7092</v>
      </c>
      <c r="J3">
        <v>23665.900000000005</v>
      </c>
      <c r="K3" s="51">
        <f t="shared" ref="K3:K12" si="0">H3/J3</f>
        <v>0.31164248982713516</v>
      </c>
      <c r="L3">
        <f t="shared" ref="L3:L12" si="1">J3-H3</f>
        <v>16290.600000000006</v>
      </c>
    </row>
    <row r="4" spans="1:12" x14ac:dyDescent="0.3">
      <c r="A4" s="6">
        <v>45740</v>
      </c>
      <c r="B4" t="s">
        <v>21</v>
      </c>
      <c r="C4">
        <v>6936.75</v>
      </c>
      <c r="D4">
        <v>374.81</v>
      </c>
      <c r="E4">
        <v>707</v>
      </c>
      <c r="F4">
        <v>61</v>
      </c>
      <c r="G4">
        <v>6348</v>
      </c>
      <c r="H4">
        <v>7311.56</v>
      </c>
      <c r="I4">
        <v>7116</v>
      </c>
      <c r="J4">
        <v>23665.900000000005</v>
      </c>
      <c r="K4" s="51">
        <f t="shared" si="0"/>
        <v>0.30894916314190457</v>
      </c>
      <c r="L4">
        <f t="shared" si="1"/>
        <v>16354.340000000004</v>
      </c>
    </row>
    <row r="5" spans="1:12" x14ac:dyDescent="0.3">
      <c r="A5" s="6">
        <v>45748</v>
      </c>
      <c r="B5" t="s">
        <v>22</v>
      </c>
      <c r="C5">
        <v>7147.5</v>
      </c>
      <c r="D5">
        <v>543.03</v>
      </c>
      <c r="E5">
        <v>769</v>
      </c>
      <c r="F5">
        <v>82</v>
      </c>
      <c r="G5">
        <v>7690</v>
      </c>
      <c r="H5">
        <v>7690.53</v>
      </c>
      <c r="I5">
        <v>8541</v>
      </c>
      <c r="J5">
        <v>23665.900000000005</v>
      </c>
      <c r="K5" s="51">
        <f t="shared" si="0"/>
        <v>0.32496249878517186</v>
      </c>
      <c r="L5">
        <f t="shared" si="1"/>
        <v>15975.370000000006</v>
      </c>
    </row>
    <row r="6" spans="1:12" x14ac:dyDescent="0.3">
      <c r="A6" s="6">
        <v>45770</v>
      </c>
      <c r="B6" t="s">
        <v>25</v>
      </c>
      <c r="C6">
        <v>7695.75</v>
      </c>
      <c r="D6">
        <v>546</v>
      </c>
      <c r="E6">
        <v>886</v>
      </c>
      <c r="F6">
        <v>108</v>
      </c>
      <c r="G6">
        <v>8817</v>
      </c>
      <c r="H6">
        <v>8241.75</v>
      </c>
      <c r="I6">
        <v>9811</v>
      </c>
      <c r="J6">
        <v>23665.900000000005</v>
      </c>
      <c r="K6" s="51">
        <f t="shared" si="0"/>
        <v>0.34825423922183385</v>
      </c>
      <c r="L6">
        <f t="shared" si="1"/>
        <v>15424.150000000005</v>
      </c>
    </row>
    <row r="7" spans="1:12" x14ac:dyDescent="0.3">
      <c r="A7" s="6">
        <v>45776</v>
      </c>
      <c r="B7" t="s">
        <v>26</v>
      </c>
      <c r="C7">
        <v>6051.25</v>
      </c>
      <c r="D7">
        <v>205.22</v>
      </c>
      <c r="E7">
        <v>396</v>
      </c>
      <c r="F7">
        <v>40</v>
      </c>
      <c r="G7">
        <v>6121</v>
      </c>
      <c r="H7">
        <v>6256.47</v>
      </c>
      <c r="I7">
        <v>6557</v>
      </c>
      <c r="J7">
        <v>23665.900000000005</v>
      </c>
      <c r="K7" s="51">
        <f t="shared" si="0"/>
        <v>0.26436645130757752</v>
      </c>
      <c r="L7">
        <f t="shared" si="1"/>
        <v>17409.430000000004</v>
      </c>
    </row>
    <row r="8" spans="1:12" x14ac:dyDescent="0.3">
      <c r="A8" s="6">
        <v>45789</v>
      </c>
      <c r="B8" t="s">
        <v>109</v>
      </c>
      <c r="C8">
        <v>7857.25</v>
      </c>
      <c r="D8">
        <v>624.03000000000009</v>
      </c>
      <c r="E8">
        <v>1022</v>
      </c>
      <c r="F8">
        <v>102</v>
      </c>
      <c r="G8">
        <v>8071</v>
      </c>
      <c r="H8">
        <v>8481.2800000000007</v>
      </c>
      <c r="I8">
        <v>9195</v>
      </c>
      <c r="J8">
        <v>23665.900000000005</v>
      </c>
      <c r="K8" s="51">
        <f t="shared" si="0"/>
        <v>0.35837555301087215</v>
      </c>
      <c r="L8">
        <f t="shared" si="1"/>
        <v>15184.620000000004</v>
      </c>
    </row>
    <row r="9" spans="1:12" x14ac:dyDescent="0.3">
      <c r="A9" s="6">
        <v>45804</v>
      </c>
      <c r="B9" t="s">
        <v>125</v>
      </c>
      <c r="C9">
        <v>8164</v>
      </c>
      <c r="D9">
        <v>664.59</v>
      </c>
      <c r="E9">
        <v>1072</v>
      </c>
      <c r="F9">
        <v>93</v>
      </c>
      <c r="G9">
        <v>8020</v>
      </c>
      <c r="H9">
        <v>8828.59</v>
      </c>
      <c r="I9">
        <v>9185</v>
      </c>
      <c r="J9">
        <v>23665.900000000005</v>
      </c>
      <c r="K9" s="51">
        <f t="shared" si="0"/>
        <v>0.37305109883841298</v>
      </c>
      <c r="L9">
        <f t="shared" si="1"/>
        <v>14837.310000000005</v>
      </c>
    </row>
    <row r="10" spans="1:12" x14ac:dyDescent="0.3">
      <c r="A10" s="6">
        <v>45811</v>
      </c>
      <c r="B10" t="s">
        <v>126</v>
      </c>
      <c r="C10">
        <v>7685.25</v>
      </c>
      <c r="D10">
        <v>633.63000000000011</v>
      </c>
      <c r="E10">
        <v>1214</v>
      </c>
      <c r="F10">
        <v>80</v>
      </c>
      <c r="G10">
        <v>9343</v>
      </c>
      <c r="H10">
        <v>8318.880000000001</v>
      </c>
      <c r="I10">
        <v>10637</v>
      </c>
      <c r="J10">
        <v>23665.900000000005</v>
      </c>
      <c r="K10" s="51">
        <f t="shared" si="0"/>
        <v>0.35151335888345675</v>
      </c>
      <c r="L10">
        <f t="shared" si="1"/>
        <v>15347.020000000004</v>
      </c>
    </row>
    <row r="11" spans="1:12" x14ac:dyDescent="0.3">
      <c r="A11" s="6">
        <v>45818</v>
      </c>
      <c r="B11" t="s">
        <v>127</v>
      </c>
      <c r="C11">
        <v>7846</v>
      </c>
      <c r="D11">
        <v>655.15</v>
      </c>
      <c r="E11">
        <v>1237</v>
      </c>
      <c r="F11">
        <v>79</v>
      </c>
      <c r="G11">
        <v>9547</v>
      </c>
      <c r="H11">
        <v>8501.15</v>
      </c>
      <c r="I11">
        <v>10863</v>
      </c>
      <c r="J11">
        <v>23665.900000000005</v>
      </c>
      <c r="K11" s="51">
        <f t="shared" si="0"/>
        <v>0.35921515767412177</v>
      </c>
      <c r="L11">
        <f t="shared" si="1"/>
        <v>15164.750000000005</v>
      </c>
    </row>
    <row r="12" spans="1:12" x14ac:dyDescent="0.3">
      <c r="A12" s="6">
        <v>45824</v>
      </c>
      <c r="B12" t="s">
        <v>128</v>
      </c>
      <c r="C12">
        <v>7872</v>
      </c>
      <c r="D12">
        <v>655.15</v>
      </c>
      <c r="E12">
        <v>1237</v>
      </c>
      <c r="F12">
        <v>79</v>
      </c>
      <c r="G12">
        <v>9596</v>
      </c>
      <c r="H12">
        <v>8527.15</v>
      </c>
      <c r="I12">
        <v>10912</v>
      </c>
      <c r="J12">
        <v>23665.900000000005</v>
      </c>
      <c r="K12" s="51">
        <f t="shared" si="0"/>
        <v>0.36031378481274734</v>
      </c>
      <c r="L12">
        <f t="shared" si="1"/>
        <v>15138.750000000005</v>
      </c>
    </row>
    <row r="13" spans="1:12" x14ac:dyDescent="0.3">
      <c r="A13" s="6">
        <v>45832</v>
      </c>
      <c r="B13" t="s">
        <v>129</v>
      </c>
      <c r="C13">
        <v>7875.2</v>
      </c>
      <c r="D13">
        <v>655.15</v>
      </c>
      <c r="E13">
        <v>1237</v>
      </c>
      <c r="F13">
        <v>79</v>
      </c>
      <c r="G13">
        <v>9612</v>
      </c>
      <c r="H13">
        <v>8530.65</v>
      </c>
      <c r="I13">
        <v>10928</v>
      </c>
      <c r="J13">
        <v>23666.9</v>
      </c>
      <c r="K13" s="51">
        <f t="shared" ref="K13:K14" si="2">H13/J13</f>
        <v>0.36044644630264205</v>
      </c>
      <c r="L13">
        <f t="shared" ref="L13:L14" si="3">J13-H13</f>
        <v>15136.250000000002</v>
      </c>
    </row>
    <row r="14" spans="1:12" x14ac:dyDescent="0.3">
      <c r="A14" s="6">
        <v>45846</v>
      </c>
      <c r="B14" t="s">
        <v>131</v>
      </c>
      <c r="C14">
        <v>8323.75</v>
      </c>
      <c r="D14">
        <v>687.82</v>
      </c>
      <c r="E14">
        <v>1311</v>
      </c>
      <c r="F14">
        <v>84</v>
      </c>
      <c r="G14">
        <v>10846</v>
      </c>
      <c r="H14">
        <v>9011.57</v>
      </c>
      <c r="I14">
        <v>12241</v>
      </c>
      <c r="J14">
        <v>23666.9</v>
      </c>
      <c r="K14" s="51">
        <f t="shared" si="2"/>
        <v>0.38076680934131629</v>
      </c>
      <c r="L14">
        <f t="shared" si="3"/>
        <v>14655.330000000002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0639-71B7-45B7-9203-7F3AABBADBDE}">
  <sheetPr codeName="Planilha12">
    <tabColor theme="4"/>
  </sheetPr>
  <dimension ref="A1"/>
  <sheetViews>
    <sheetView workbookViewId="0">
      <selection activeCell="E12" sqref="E1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5988-7493-4D0F-A85E-51CDB2F8A440}">
  <sheetPr codeName="Planilha13">
    <tabColor theme="8"/>
  </sheetPr>
  <dimension ref="A1:M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2" sqref="D22"/>
    </sheetView>
  </sheetViews>
  <sheetFormatPr defaultRowHeight="14.4" x14ac:dyDescent="0.3"/>
  <cols>
    <col min="1" max="1" width="13" style="8" customWidth="1"/>
    <col min="2" max="2" width="16.33203125" bestFit="1" customWidth="1"/>
    <col min="3" max="3" width="16.33203125" customWidth="1"/>
    <col min="4" max="4" width="23.33203125" bestFit="1" customWidth="1"/>
    <col min="5" max="5" width="21.33203125" bestFit="1" customWidth="1"/>
    <col min="6" max="8" width="23.33203125" bestFit="1" customWidth="1"/>
    <col min="9" max="9" width="23.33203125" customWidth="1"/>
    <col min="10" max="10" width="23.33203125" bestFit="1" customWidth="1"/>
    <col min="11" max="11" width="23.33203125" customWidth="1"/>
    <col min="12" max="12" width="23.33203125" bestFit="1" customWidth="1"/>
    <col min="13" max="13" width="23.33203125" customWidth="1"/>
  </cols>
  <sheetData>
    <row r="1" spans="1:13" x14ac:dyDescent="0.3">
      <c r="A1" s="37" t="s">
        <v>17</v>
      </c>
      <c r="B1" s="21" t="s">
        <v>42</v>
      </c>
      <c r="C1" s="21" t="s">
        <v>44</v>
      </c>
      <c r="D1" s="21" t="s">
        <v>43</v>
      </c>
      <c r="E1" s="21" t="s">
        <v>55</v>
      </c>
      <c r="F1" s="21" t="s">
        <v>45</v>
      </c>
      <c r="G1" s="21" t="s">
        <v>46</v>
      </c>
      <c r="H1" s="21" t="s">
        <v>49</v>
      </c>
      <c r="I1" s="25" t="s">
        <v>52</v>
      </c>
      <c r="J1" s="21" t="s">
        <v>50</v>
      </c>
      <c r="K1" s="25" t="s">
        <v>53</v>
      </c>
      <c r="L1" s="21" t="s">
        <v>51</v>
      </c>
      <c r="M1" s="25" t="s">
        <v>54</v>
      </c>
    </row>
    <row r="2" spans="1:13" x14ac:dyDescent="0.3">
      <c r="A2" s="38" t="s">
        <v>34</v>
      </c>
      <c r="B2" s="11">
        <v>18</v>
      </c>
      <c r="C2" s="11">
        <f>AVERAGE(B2)</f>
        <v>18</v>
      </c>
      <c r="D2" s="11">
        <v>20</v>
      </c>
      <c r="E2" s="11">
        <f>AVERAGE(D2)/5</f>
        <v>4</v>
      </c>
      <c r="F2" s="22">
        <f>D2-C2</f>
        <v>2</v>
      </c>
      <c r="G2" s="22">
        <f>F2</f>
        <v>2</v>
      </c>
      <c r="H2" s="22">
        <v>9</v>
      </c>
      <c r="I2" s="19">
        <f>H2/E2</f>
        <v>2.25</v>
      </c>
      <c r="J2" s="22">
        <v>2</v>
      </c>
      <c r="K2" s="19">
        <f>J2/E2</f>
        <v>0.5</v>
      </c>
      <c r="L2" s="22">
        <v>6</v>
      </c>
      <c r="M2" s="19">
        <f>L2/E2</f>
        <v>1.5</v>
      </c>
    </row>
    <row r="3" spans="1:13" x14ac:dyDescent="0.3">
      <c r="A3" s="38" t="s">
        <v>35</v>
      </c>
      <c r="B3" s="11">
        <v>23</v>
      </c>
      <c r="C3" s="23">
        <f>AVERAGE($B$2:B3)</f>
        <v>20.5</v>
      </c>
      <c r="D3" s="11">
        <v>26</v>
      </c>
      <c r="E3" s="11">
        <f t="shared" ref="E3:E19" si="0">AVERAGE(D3)/5</f>
        <v>5.2</v>
      </c>
      <c r="F3" s="22">
        <f t="shared" ref="F3:F19" si="1">D3-C3</f>
        <v>5.5</v>
      </c>
      <c r="G3" s="22">
        <f>G2+F3</f>
        <v>7.5</v>
      </c>
      <c r="H3" s="22">
        <v>9</v>
      </c>
      <c r="I3" s="19">
        <f t="shared" ref="I3:I19" si="2">H3/E3</f>
        <v>1.7307692307692306</v>
      </c>
      <c r="J3" s="22">
        <v>5</v>
      </c>
      <c r="K3" s="19">
        <f t="shared" ref="K3:K19" si="3">J3/E3</f>
        <v>0.96153846153846145</v>
      </c>
      <c r="L3" s="22">
        <v>6</v>
      </c>
      <c r="M3" s="19">
        <f t="shared" ref="M3:M19" si="4">L3/E3</f>
        <v>1.1538461538461537</v>
      </c>
    </row>
    <row r="4" spans="1:13" x14ac:dyDescent="0.3">
      <c r="A4" s="38" t="s">
        <v>36</v>
      </c>
      <c r="B4" s="11">
        <v>17</v>
      </c>
      <c r="C4" s="23">
        <f>AVERAGE($B$2:B4)</f>
        <v>19.333333333333332</v>
      </c>
      <c r="D4" s="11">
        <v>20</v>
      </c>
      <c r="E4" s="11">
        <f t="shared" si="0"/>
        <v>4</v>
      </c>
      <c r="F4" s="22">
        <f t="shared" si="1"/>
        <v>0.66666666666666785</v>
      </c>
      <c r="G4" s="22">
        <f t="shared" ref="G4:G19" si="5">G3+F4</f>
        <v>8.1666666666666679</v>
      </c>
      <c r="H4" s="22">
        <v>8</v>
      </c>
      <c r="I4" s="19">
        <f t="shared" si="2"/>
        <v>2</v>
      </c>
      <c r="J4" s="22">
        <v>4</v>
      </c>
      <c r="K4" s="19">
        <f t="shared" si="3"/>
        <v>1</v>
      </c>
      <c r="L4" s="22">
        <v>5</v>
      </c>
      <c r="M4" s="19">
        <f t="shared" si="4"/>
        <v>1.25</v>
      </c>
    </row>
    <row r="5" spans="1:13" x14ac:dyDescent="0.3">
      <c r="A5" s="38" t="s">
        <v>37</v>
      </c>
      <c r="B5" s="11">
        <v>92</v>
      </c>
      <c r="C5" s="23">
        <f>AVERAGE($B$2:B5)</f>
        <v>37.5</v>
      </c>
      <c r="D5" s="11">
        <v>54</v>
      </c>
      <c r="E5" s="11">
        <f t="shared" si="0"/>
        <v>10.8</v>
      </c>
      <c r="F5" s="22">
        <f t="shared" si="1"/>
        <v>16.5</v>
      </c>
      <c r="G5" s="22">
        <f t="shared" si="5"/>
        <v>24.666666666666668</v>
      </c>
      <c r="H5" s="22">
        <v>21</v>
      </c>
      <c r="I5" s="19">
        <f t="shared" si="2"/>
        <v>1.9444444444444444</v>
      </c>
      <c r="J5" s="22">
        <v>3</v>
      </c>
      <c r="K5" s="19">
        <f t="shared" si="3"/>
        <v>0.27777777777777773</v>
      </c>
      <c r="L5" s="22">
        <v>15</v>
      </c>
      <c r="M5" s="19">
        <f t="shared" si="4"/>
        <v>1.3888888888888888</v>
      </c>
    </row>
    <row r="6" spans="1:13" x14ac:dyDescent="0.3">
      <c r="A6" s="38" t="s">
        <v>38</v>
      </c>
      <c r="B6" s="11">
        <v>51</v>
      </c>
      <c r="C6" s="23">
        <f>AVERAGE($B$2:B6)</f>
        <v>40.200000000000003</v>
      </c>
      <c r="D6" s="11">
        <v>50</v>
      </c>
      <c r="E6" s="11">
        <f t="shared" si="0"/>
        <v>10</v>
      </c>
      <c r="F6" s="22">
        <f t="shared" si="1"/>
        <v>9.7999999999999972</v>
      </c>
      <c r="G6" s="22">
        <f t="shared" si="5"/>
        <v>34.466666666666669</v>
      </c>
      <c r="H6" s="22">
        <v>20</v>
      </c>
      <c r="I6" s="19">
        <f t="shared" si="2"/>
        <v>2</v>
      </c>
      <c r="J6" s="22">
        <v>10</v>
      </c>
      <c r="K6" s="19">
        <f t="shared" si="3"/>
        <v>1</v>
      </c>
      <c r="L6" s="22">
        <v>10</v>
      </c>
      <c r="M6" s="19">
        <f t="shared" si="4"/>
        <v>1</v>
      </c>
    </row>
    <row r="7" spans="1:13" x14ac:dyDescent="0.3">
      <c r="A7" s="38" t="s">
        <v>39</v>
      </c>
      <c r="B7" s="11">
        <v>63</v>
      </c>
      <c r="C7" s="23">
        <f>AVERAGE($B$2:B7)</f>
        <v>44</v>
      </c>
      <c r="D7" s="11">
        <v>60</v>
      </c>
      <c r="E7" s="11">
        <f t="shared" si="0"/>
        <v>12</v>
      </c>
      <c r="F7" s="22">
        <f t="shared" si="1"/>
        <v>16</v>
      </c>
      <c r="G7" s="22">
        <f t="shared" si="5"/>
        <v>50.466666666666669</v>
      </c>
      <c r="H7" s="22">
        <v>18</v>
      </c>
      <c r="I7" s="19">
        <f t="shared" si="2"/>
        <v>1.5</v>
      </c>
      <c r="J7" s="22">
        <v>12</v>
      </c>
      <c r="K7" s="19">
        <f t="shared" si="3"/>
        <v>1</v>
      </c>
      <c r="L7" s="22">
        <v>15</v>
      </c>
      <c r="M7" s="19">
        <f t="shared" si="4"/>
        <v>1.25</v>
      </c>
    </row>
    <row r="8" spans="1:13" x14ac:dyDescent="0.3">
      <c r="A8" s="38" t="s">
        <v>40</v>
      </c>
      <c r="B8" s="11">
        <v>69</v>
      </c>
      <c r="C8" s="23">
        <f>AVERAGE($B$2:B8)</f>
        <v>47.571428571428569</v>
      </c>
      <c r="D8" s="11">
        <v>44</v>
      </c>
      <c r="E8" s="11">
        <f t="shared" si="0"/>
        <v>8.8000000000000007</v>
      </c>
      <c r="F8" s="22">
        <f t="shared" si="1"/>
        <v>-3.5714285714285694</v>
      </c>
      <c r="G8" s="22">
        <f t="shared" si="5"/>
        <v>46.895238095238099</v>
      </c>
      <c r="H8" s="22">
        <v>18</v>
      </c>
      <c r="I8" s="19">
        <f t="shared" si="2"/>
        <v>2.0454545454545454</v>
      </c>
      <c r="J8" s="22">
        <v>6</v>
      </c>
      <c r="K8" s="19">
        <f t="shared" si="3"/>
        <v>0.68181818181818177</v>
      </c>
      <c r="L8" s="22">
        <v>10</v>
      </c>
      <c r="M8" s="19">
        <f t="shared" si="4"/>
        <v>1.1363636363636362</v>
      </c>
    </row>
    <row r="9" spans="1:13" x14ac:dyDescent="0.3">
      <c r="A9" s="38" t="s">
        <v>27</v>
      </c>
      <c r="B9" s="11">
        <v>55</v>
      </c>
      <c r="C9" s="23">
        <f>AVERAGE($B$2:B9)</f>
        <v>48.5</v>
      </c>
      <c r="D9" s="11">
        <v>50</v>
      </c>
      <c r="E9" s="11">
        <f t="shared" si="0"/>
        <v>10</v>
      </c>
      <c r="F9" s="22">
        <f t="shared" si="1"/>
        <v>1.5</v>
      </c>
      <c r="G9" s="22">
        <f t="shared" si="5"/>
        <v>48.395238095238099</v>
      </c>
      <c r="H9" s="22">
        <v>18</v>
      </c>
      <c r="I9" s="19">
        <f t="shared" si="2"/>
        <v>1.8</v>
      </c>
      <c r="J9" s="22">
        <v>8</v>
      </c>
      <c r="K9" s="19">
        <f t="shared" si="3"/>
        <v>0.8</v>
      </c>
      <c r="L9" s="22">
        <v>11</v>
      </c>
      <c r="M9" s="19">
        <f t="shared" si="4"/>
        <v>1.1000000000000001</v>
      </c>
    </row>
    <row r="10" spans="1:13" x14ac:dyDescent="0.3">
      <c r="A10" s="38" t="s">
        <v>28</v>
      </c>
      <c r="B10" s="11">
        <v>76</v>
      </c>
      <c r="C10" s="23">
        <f>AVERAGE($B$2:B10)</f>
        <v>51.555555555555557</v>
      </c>
      <c r="D10" s="11">
        <v>61</v>
      </c>
      <c r="E10" s="11">
        <f t="shared" si="0"/>
        <v>12.2</v>
      </c>
      <c r="F10" s="22">
        <f t="shared" si="1"/>
        <v>9.4444444444444429</v>
      </c>
      <c r="G10" s="22">
        <f t="shared" si="5"/>
        <v>57.839682539682542</v>
      </c>
      <c r="H10" s="22">
        <v>15</v>
      </c>
      <c r="I10" s="19">
        <f t="shared" si="2"/>
        <v>1.2295081967213115</v>
      </c>
      <c r="J10" s="22">
        <v>11</v>
      </c>
      <c r="K10" s="19">
        <f t="shared" si="3"/>
        <v>0.90163934426229508</v>
      </c>
      <c r="L10" s="22">
        <v>7</v>
      </c>
      <c r="M10" s="19">
        <f t="shared" si="4"/>
        <v>0.57377049180327877</v>
      </c>
    </row>
    <row r="11" spans="1:13" x14ac:dyDescent="0.3">
      <c r="A11" s="38" t="s">
        <v>18</v>
      </c>
      <c r="B11" s="11">
        <v>9</v>
      </c>
      <c r="C11" s="23">
        <f>AVERAGE($B$2:B11)</f>
        <v>47.3</v>
      </c>
      <c r="D11" s="11">
        <v>15</v>
      </c>
      <c r="E11" s="11">
        <f t="shared" si="0"/>
        <v>3</v>
      </c>
      <c r="F11" s="22">
        <f t="shared" si="1"/>
        <v>-32.299999999999997</v>
      </c>
      <c r="G11" s="22">
        <f t="shared" si="5"/>
        <v>25.539682539682545</v>
      </c>
      <c r="H11" s="22">
        <v>7</v>
      </c>
      <c r="I11" s="19">
        <f t="shared" si="2"/>
        <v>2.3333333333333335</v>
      </c>
      <c r="J11" s="22">
        <v>3</v>
      </c>
      <c r="K11" s="19">
        <f t="shared" si="3"/>
        <v>1</v>
      </c>
      <c r="L11" s="22">
        <v>4</v>
      </c>
      <c r="M11" s="19">
        <f t="shared" si="4"/>
        <v>1.3333333333333333</v>
      </c>
    </row>
    <row r="12" spans="1:13" x14ac:dyDescent="0.3">
      <c r="A12" s="38" t="s">
        <v>19</v>
      </c>
      <c r="B12" s="11">
        <v>69</v>
      </c>
      <c r="C12" s="23">
        <f>AVERAGE($B$2:B12)</f>
        <v>49.272727272727273</v>
      </c>
      <c r="D12" s="11">
        <v>49</v>
      </c>
      <c r="E12" s="11">
        <f t="shared" si="0"/>
        <v>9.8000000000000007</v>
      </c>
      <c r="F12" s="22">
        <f t="shared" si="1"/>
        <v>-0.27272727272727337</v>
      </c>
      <c r="G12" s="22">
        <f t="shared" si="5"/>
        <v>25.266955266955271</v>
      </c>
      <c r="H12" s="22">
        <v>18</v>
      </c>
      <c r="I12" s="19">
        <f t="shared" si="2"/>
        <v>1.8367346938775508</v>
      </c>
      <c r="J12" s="22">
        <v>11</v>
      </c>
      <c r="K12" s="19">
        <f t="shared" si="3"/>
        <v>1.1224489795918366</v>
      </c>
      <c r="L12" s="22">
        <v>6</v>
      </c>
      <c r="M12" s="19">
        <f t="shared" si="4"/>
        <v>0.61224489795918358</v>
      </c>
    </row>
    <row r="13" spans="1:13" x14ac:dyDescent="0.3">
      <c r="A13" s="38" t="s">
        <v>20</v>
      </c>
      <c r="B13" s="11">
        <v>54</v>
      </c>
      <c r="C13" s="23">
        <f>AVERAGE($B$2:B13)</f>
        <v>49.666666666666664</v>
      </c>
      <c r="D13" s="11">
        <v>52</v>
      </c>
      <c r="E13" s="11">
        <f t="shared" si="0"/>
        <v>10.4</v>
      </c>
      <c r="F13" s="22">
        <f t="shared" si="1"/>
        <v>2.3333333333333357</v>
      </c>
      <c r="G13" s="22">
        <f t="shared" si="5"/>
        <v>27.600288600288607</v>
      </c>
      <c r="H13" s="22">
        <v>22</v>
      </c>
      <c r="I13" s="19">
        <f t="shared" si="2"/>
        <v>2.1153846153846154</v>
      </c>
      <c r="J13" s="22">
        <v>8</v>
      </c>
      <c r="K13" s="19">
        <f t="shared" si="3"/>
        <v>0.76923076923076916</v>
      </c>
      <c r="L13" s="22">
        <v>6</v>
      </c>
      <c r="M13" s="19">
        <f t="shared" si="4"/>
        <v>0.57692307692307687</v>
      </c>
    </row>
    <row r="14" spans="1:13" x14ac:dyDescent="0.3">
      <c r="A14" s="38" t="s">
        <v>21</v>
      </c>
      <c r="B14" s="11">
        <v>81</v>
      </c>
      <c r="C14" s="23">
        <f>AVERAGE($B$2:B14)</f>
        <v>52.07692307692308</v>
      </c>
      <c r="D14" s="11">
        <v>64</v>
      </c>
      <c r="E14" s="11">
        <f t="shared" si="0"/>
        <v>12.8</v>
      </c>
      <c r="F14" s="22">
        <f t="shared" si="1"/>
        <v>11.92307692307692</v>
      </c>
      <c r="G14" s="22">
        <f t="shared" si="5"/>
        <v>39.523365523365527</v>
      </c>
      <c r="H14" s="22">
        <v>20</v>
      </c>
      <c r="I14" s="19">
        <f t="shared" si="2"/>
        <v>1.5625</v>
      </c>
      <c r="J14" s="22">
        <v>9</v>
      </c>
      <c r="K14" s="19">
        <f t="shared" si="3"/>
        <v>0.703125</v>
      </c>
      <c r="L14" s="22">
        <v>14</v>
      </c>
      <c r="M14" s="19">
        <f t="shared" si="4"/>
        <v>1.09375</v>
      </c>
    </row>
    <row r="15" spans="1:13" x14ac:dyDescent="0.3">
      <c r="A15" s="38" t="s">
        <v>22</v>
      </c>
      <c r="B15" s="11">
        <v>51</v>
      </c>
      <c r="C15" s="23">
        <f>AVERAGE($B$2:B15)</f>
        <v>52</v>
      </c>
      <c r="D15" s="11">
        <v>55</v>
      </c>
      <c r="E15" s="11">
        <f t="shared" si="0"/>
        <v>11</v>
      </c>
      <c r="F15" s="22">
        <f t="shared" si="1"/>
        <v>3</v>
      </c>
      <c r="G15" s="22">
        <f t="shared" si="5"/>
        <v>42.523365523365527</v>
      </c>
      <c r="H15" s="22">
        <v>20</v>
      </c>
      <c r="I15" s="19">
        <f t="shared" si="2"/>
        <v>1.8181818181818181</v>
      </c>
      <c r="J15" s="22">
        <v>12</v>
      </c>
      <c r="K15" s="19">
        <f t="shared" si="3"/>
        <v>1.0909090909090908</v>
      </c>
      <c r="L15" s="22">
        <v>14</v>
      </c>
      <c r="M15" s="19">
        <f t="shared" si="4"/>
        <v>1.2727272727272727</v>
      </c>
    </row>
    <row r="16" spans="1:13" x14ac:dyDescent="0.3">
      <c r="A16" s="38" t="s">
        <v>23</v>
      </c>
      <c r="B16" s="11">
        <v>68</v>
      </c>
      <c r="C16" s="23">
        <f>AVERAGE($B$2:B16)</f>
        <v>53.06666666666667</v>
      </c>
      <c r="D16" s="11">
        <v>53</v>
      </c>
      <c r="E16" s="11">
        <f t="shared" si="0"/>
        <v>10.6</v>
      </c>
      <c r="F16" s="22">
        <f t="shared" si="1"/>
        <v>-6.6666666666669983E-2</v>
      </c>
      <c r="G16" s="22">
        <f t="shared" si="5"/>
        <v>42.456698856698857</v>
      </c>
      <c r="H16" s="22">
        <v>20</v>
      </c>
      <c r="I16" s="19">
        <f t="shared" si="2"/>
        <v>1.8867924528301887</v>
      </c>
      <c r="J16" s="22">
        <v>12</v>
      </c>
      <c r="K16" s="19">
        <f t="shared" si="3"/>
        <v>1.1320754716981132</v>
      </c>
      <c r="L16" s="22">
        <v>19</v>
      </c>
      <c r="M16" s="19">
        <f t="shared" si="4"/>
        <v>1.7924528301886793</v>
      </c>
    </row>
    <row r="17" spans="1:13" x14ac:dyDescent="0.3">
      <c r="A17" s="38" t="s">
        <v>24</v>
      </c>
      <c r="B17" s="11">
        <v>40</v>
      </c>
      <c r="C17" s="23">
        <f>AVERAGE($B$2:B17)</f>
        <v>52.25</v>
      </c>
      <c r="D17" s="11">
        <v>41</v>
      </c>
      <c r="E17" s="11">
        <f t="shared" si="0"/>
        <v>8.1999999999999993</v>
      </c>
      <c r="F17" s="22">
        <f t="shared" si="1"/>
        <v>-11.25</v>
      </c>
      <c r="G17" s="22">
        <f t="shared" si="5"/>
        <v>31.206698856698857</v>
      </c>
      <c r="H17" s="22">
        <v>16</v>
      </c>
      <c r="I17" s="19">
        <f t="shared" si="2"/>
        <v>1.9512195121951221</v>
      </c>
      <c r="J17" s="22">
        <v>9</v>
      </c>
      <c r="K17" s="19">
        <f t="shared" si="3"/>
        <v>1.0975609756097562</v>
      </c>
      <c r="L17" s="22">
        <v>16</v>
      </c>
      <c r="M17" s="19">
        <f t="shared" si="4"/>
        <v>1.9512195121951221</v>
      </c>
    </row>
    <row r="18" spans="1:13" x14ac:dyDescent="0.3">
      <c r="A18" s="38" t="s">
        <v>25</v>
      </c>
      <c r="B18" s="11">
        <v>62</v>
      </c>
      <c r="C18" s="23">
        <f>AVERAGE($B$2:B18)</f>
        <v>52.823529411764703</v>
      </c>
      <c r="D18" s="11">
        <v>42</v>
      </c>
      <c r="E18" s="11">
        <f t="shared" si="0"/>
        <v>8.4</v>
      </c>
      <c r="F18" s="22">
        <f t="shared" si="1"/>
        <v>-10.823529411764703</v>
      </c>
      <c r="G18" s="22">
        <f t="shared" si="5"/>
        <v>20.383169444934154</v>
      </c>
      <c r="H18" s="22">
        <v>16</v>
      </c>
      <c r="I18" s="19">
        <f t="shared" si="2"/>
        <v>1.9047619047619047</v>
      </c>
      <c r="J18" s="22">
        <v>8</v>
      </c>
      <c r="K18" s="19">
        <f t="shared" si="3"/>
        <v>0.95238095238095233</v>
      </c>
      <c r="L18" s="22">
        <v>10</v>
      </c>
      <c r="M18" s="19">
        <f t="shared" si="4"/>
        <v>1.1904761904761905</v>
      </c>
    </row>
    <row r="19" spans="1:13" x14ac:dyDescent="0.3">
      <c r="A19" s="38" t="s">
        <v>26</v>
      </c>
      <c r="B19" s="11">
        <v>43</v>
      </c>
      <c r="C19" s="23">
        <f>AVERAGE($B$2:B19)</f>
        <v>52.277777777777779</v>
      </c>
      <c r="D19" s="11">
        <v>50</v>
      </c>
      <c r="E19" s="11">
        <f t="shared" si="0"/>
        <v>10</v>
      </c>
      <c r="F19" s="22">
        <f t="shared" si="1"/>
        <v>-2.2777777777777786</v>
      </c>
      <c r="G19" s="22">
        <f t="shared" si="5"/>
        <v>18.105391667156375</v>
      </c>
      <c r="H19" s="22">
        <v>27</v>
      </c>
      <c r="I19" s="19">
        <f t="shared" si="2"/>
        <v>2.7</v>
      </c>
      <c r="J19" s="22">
        <v>11</v>
      </c>
      <c r="K19" s="19">
        <f t="shared" si="3"/>
        <v>1.1000000000000001</v>
      </c>
      <c r="L19" s="22">
        <v>12</v>
      </c>
      <c r="M19" s="19">
        <f t="shared" si="4"/>
        <v>1.2</v>
      </c>
    </row>
    <row r="20" spans="1:13" x14ac:dyDescent="0.3">
      <c r="A20" s="38" t="s">
        <v>41</v>
      </c>
      <c r="B20" s="11"/>
      <c r="C20" s="23"/>
      <c r="D20" s="11"/>
      <c r="E20" s="23"/>
      <c r="F20" s="22"/>
      <c r="G20" s="22"/>
      <c r="H20" s="22"/>
      <c r="I20" s="19"/>
      <c r="J20" s="22"/>
      <c r="K20" s="19"/>
      <c r="L20" s="22"/>
      <c r="M20" s="19"/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7D10-4870-495F-A707-BBC534BD9265}">
  <sheetPr codeName="Planilha1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85F2B-5F9E-4C05-90B5-CE3D6F38356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BD_Plano_IE</vt:lpstr>
      <vt:lpstr>BD_foco_vazamentos</vt:lpstr>
      <vt:lpstr>BD_MBIN</vt:lpstr>
      <vt:lpstr>BD_IARI</vt:lpstr>
      <vt:lpstr>BD_PCFEO</vt:lpstr>
      <vt:lpstr>LISTA DE INDICADORES</vt:lpstr>
      <vt:lpstr>IARI</vt:lpstr>
      <vt:lpstr>IAZF</vt:lpstr>
      <vt:lpstr>PFCEO</vt:lpstr>
      <vt:lpstr>VAZAMENTOS GERAL</vt:lpstr>
      <vt:lpstr>VAZAMENTOS VC</vt:lpstr>
      <vt:lpstr>DISP.PURGADORES</vt:lpstr>
      <vt:lpstr>REALIZACAO SEMANAL</vt:lpstr>
      <vt:lpstr>TEMPO DE PLANEJAMENTO</vt:lpstr>
      <vt:lpstr>DISP.EQUIPAMENTOS</vt:lpstr>
      <vt:lpstr>CONTROLE DE ANDAIMES</vt:lpstr>
      <vt:lpstr>CONTROLE MANGUEIRAS</vt:lpstr>
      <vt:lpstr>CARTEIRA PLANEJAMENTO CAL COM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Klauber Fernandes de Araujo - PrestServ</dc:creator>
  <cp:lastModifiedBy>Pedro Klauber Fernandes de Araujo - PrestServ</cp:lastModifiedBy>
  <dcterms:created xsi:type="dcterms:W3CDTF">2025-05-05T15:18:41Z</dcterms:created>
  <dcterms:modified xsi:type="dcterms:W3CDTF">2025-09-01T21:02:44Z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2025-05-05T15:19:19Z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3dc8a6da-014e-405f-beaa-553b05282a8d</vt:lpwstr>
  </property>
  <property fmtid="{D5CDD505-2E9C-101B-9397-08002B2CF9AE}" pid="8" name="MSIP_Label_140b9f7d-8e3a-482f-9702-4b7ffc40985a_ContentBits">
    <vt:lpwstr>2</vt:lpwstr>
  </property>
  <property fmtid="{D5CDD505-2E9C-101B-9397-08002B2CF9AE}" pid="9" name="MSIP_Label_140b9f7d-8e3a-482f-9702-4b7ffc40985a_Tag">
    <vt:lpwstr>10, 0, 1, 1</vt:lpwstr>
  </property>
</Properties>
</file>